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saledemo\Documents\TAB PROJECT\"/>
    </mc:Choice>
  </mc:AlternateContent>
  <xr:revisionPtr revIDLastSave="0" documentId="13_ncr:1_{3457D25F-C4A9-460C-A268-007C398CEB47}" xr6:coauthVersionLast="47" xr6:coauthVersionMax="47" xr10:uidLastSave="{00000000-0000-0000-0000-000000000000}"/>
  <bookViews>
    <workbookView xWindow="-110" yWindow="-110" windowWidth="25820" windowHeight="15500" activeTab="4" xr2:uid="{67A91F04-7394-4E20-893E-8099445316A0}"/>
  </bookViews>
  <sheets>
    <sheet name="DATA CLEANING" sheetId="1" r:id="rId1"/>
    <sheet name="CLEANED DATA" sheetId="3" r:id="rId2"/>
    <sheet name="1. Portfolio Risk Distribution" sheetId="4" r:id="rId3"/>
    <sheet name="2.  Risk vs Exposure_Category A" sheetId="6" r:id="rId4"/>
    <sheet name="3.  Risk vs Duration" sheetId="7" r:id="rId5"/>
    <sheet name="4. Does Age_Band influence risk" sheetId="8" r:id="rId6"/>
    <sheet name="5. Risk vs Credit Amount" sheetId="9" r:id="rId7"/>
    <sheet name="6. Duration &amp; Credit Amount Com" sheetId="10" r:id="rId8"/>
  </sheets>
  <definedNames>
    <definedName name="_xlnm._FilterDatabase" localSheetId="1" hidden="1">'CLEANED DATA'!$A$1:$M$1</definedName>
    <definedName name="_xlnm._FilterDatabase" localSheetId="0" hidden="1">'DATA CLEANING'!$A$1:$R$955</definedName>
    <definedName name="Slicer_Housing">#N/A</definedName>
    <definedName name="Slicer_Purpose">#N/A</definedName>
    <definedName name="Slicer_Sex">#N/A</definedName>
  </definedNames>
  <calcPr calcId="191029"/>
  <pivotCaches>
    <pivotCache cacheId="19"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1" l="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2" i="1"/>
  <c r="Q2" i="1" a="1"/>
  <c r="Q2" i="1" s="1"/>
  <c r="D2" i="1" a="1"/>
  <c r="D2" i="1" s="1"/>
  <c r="L2" i="1" a="1"/>
  <c r="L2" i="1" s="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2"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<sst xmlns="http://schemas.openxmlformats.org/spreadsheetml/2006/main" count="15403" uniqueCount="96">
  <si>
    <t>Age</t>
  </si>
  <si>
    <t>Sex</t>
  </si>
  <si>
    <t>Job</t>
  </si>
  <si>
    <t>Housing</t>
  </si>
  <si>
    <t>Saving accounts</t>
  </si>
  <si>
    <t>Checking account</t>
  </si>
  <si>
    <t>Credit amount</t>
  </si>
  <si>
    <t>Duration</t>
  </si>
  <si>
    <t>Purpose</t>
  </si>
  <si>
    <t>Credit Risk</t>
  </si>
  <si>
    <t>No Account</t>
  </si>
  <si>
    <t>Radio/Tv</t>
  </si>
  <si>
    <t>Education</t>
  </si>
  <si>
    <t>Furniture/Equipment</t>
  </si>
  <si>
    <t>Car</t>
  </si>
  <si>
    <t>Business</t>
  </si>
  <si>
    <t>Domestic Appliances</t>
  </si>
  <si>
    <t>Repairs</t>
  </si>
  <si>
    <t>Vacation/Others</t>
  </si>
  <si>
    <t>Male</t>
  </si>
  <si>
    <t>Female</t>
  </si>
  <si>
    <t>Own</t>
  </si>
  <si>
    <t>Free</t>
  </si>
  <si>
    <t>Rent</t>
  </si>
  <si>
    <t>Little</t>
  </si>
  <si>
    <t>Quite Rich</t>
  </si>
  <si>
    <t>Rich</t>
  </si>
  <si>
    <t>Moderate</t>
  </si>
  <si>
    <t>Detect Negative or Zero Values</t>
  </si>
  <si>
    <t>isnumber credit amt</t>
  </si>
  <si>
    <t xml:space="preserve">TRIM </t>
  </si>
  <si>
    <t>proper</t>
  </si>
  <si>
    <t>Validate Duration Column</t>
  </si>
  <si>
    <t>Risk_Label</t>
  </si>
  <si>
    <t>Low Risk</t>
  </si>
  <si>
    <t>HighRisk</t>
  </si>
  <si>
    <t>Age_Band</t>
  </si>
  <si>
    <t>Senior</t>
  </si>
  <si>
    <t>Young</t>
  </si>
  <si>
    <t>Mid-Age</t>
  </si>
  <si>
    <t>Exposure_Category</t>
  </si>
  <si>
    <t xml:space="preserve"> Low Exposure</t>
  </si>
  <si>
    <t>High Exposure</t>
  </si>
  <si>
    <t>Medium Exposure</t>
  </si>
  <si>
    <t>Count of Risk_Label</t>
  </si>
  <si>
    <t>High Risk</t>
  </si>
  <si>
    <t>Low Exposure</t>
  </si>
  <si>
    <t>Row Labels</t>
  </si>
  <si>
    <t>Grand Total</t>
  </si>
  <si>
    <t>Column Labels</t>
  </si>
  <si>
    <t>Portfolio Risk Distribution</t>
  </si>
  <si>
    <t>Low Risk borrowers dominate the dataset.</t>
  </si>
  <si>
    <r>
      <t xml:space="preserve">Dataset is </t>
    </r>
    <r>
      <rPr>
        <b/>
        <sz val="11"/>
        <color theme="1"/>
        <rFont val="Aptos Narrow"/>
        <family val="2"/>
        <scheme val="minor"/>
      </rPr>
      <t>class-imbalanced</t>
    </r>
  </si>
  <si>
    <t>0-11</t>
  </si>
  <si>
    <t>12-23</t>
  </si>
  <si>
    <t>24-35</t>
  </si>
  <si>
    <t>36-47</t>
  </si>
  <si>
    <t>48-59</t>
  </si>
  <si>
    <t>60-72</t>
  </si>
  <si>
    <t>0–11 months</t>
  </si>
  <si>
    <t>High Risk very small → safer loans</t>
  </si>
  <si>
    <t>36–47 months</t>
  </si>
  <si>
    <t>High Risk nearly equals Low Risk → risk spike</t>
  </si>
  <si>
    <t>48–59 months</t>
  </si>
  <si>
    <r>
      <t xml:space="preserve">High Risk </t>
    </r>
    <r>
      <rPr>
        <b/>
        <sz val="11"/>
        <color theme="1"/>
        <rFont val="Aptos Narrow"/>
        <family val="2"/>
        <scheme val="minor"/>
      </rPr>
      <t>exceeds Low Risk</t>
    </r>
    <r>
      <rPr>
        <sz val="11"/>
        <color theme="1"/>
        <rFont val="Aptos Narrow"/>
        <family val="2"/>
        <scheme val="minor"/>
      </rPr>
      <t xml:space="preserve"> →Longer loans correlate with higher default risk</t>
    </r>
  </si>
  <si>
    <t>Does Age_Band influence risk?</t>
  </si>
  <si>
    <t>Observation 1 — Young customers</t>
  </si>
  <si>
    <t>Highest High Risk %</t>
  </si>
  <si>
    <r>
      <t xml:space="preserve">Indicates </t>
    </r>
    <r>
      <rPr>
        <b/>
        <sz val="11"/>
        <color theme="1"/>
        <rFont val="Aptos Narrow"/>
        <family val="2"/>
        <scheme val="minor"/>
      </rPr>
      <t>low financial stability / early career risk</t>
    </r>
  </si>
  <si>
    <t>Observation 2 — Mid-Age customers</t>
  </si>
  <si>
    <t>Lowest risk</t>
  </si>
  <si>
    <t>Stable income, better repayment behavior</t>
  </si>
  <si>
    <t>Observation 3 — Seniors</t>
  </si>
  <si>
    <t>Lower loan count</t>
  </si>
  <si>
    <r>
      <t xml:space="preserve">Moderate risk due to </t>
    </r>
    <r>
      <rPr>
        <b/>
        <sz val="11"/>
        <color theme="1"/>
        <rFont val="Aptos Narrow"/>
        <family val="2"/>
        <scheme val="minor"/>
      </rPr>
      <t>fixed income / retirement</t>
    </r>
  </si>
  <si>
    <t>Younger customers exhibit the highest default propensity, suggesting age-linked credit risk behavior. This segment may require stricter underwriting or differentiated pricing.”</t>
  </si>
  <si>
    <t xml:space="preserve">Final observation </t>
  </si>
  <si>
    <t xml:space="preserve">Observation </t>
  </si>
  <si>
    <t>Risk vs Credit Amount</t>
  </si>
  <si>
    <t>250-2249</t>
  </si>
  <si>
    <t>2250-4249</t>
  </si>
  <si>
    <t>4250-6249</t>
  </si>
  <si>
    <t>6250-8249</t>
  </si>
  <si>
    <t>8250-10249</t>
  </si>
  <si>
    <t>10250-12249</t>
  </si>
  <si>
    <t>12250-14249</t>
  </si>
  <si>
    <t>14250-16249</t>
  </si>
  <si>
    <t>18250-20249</t>
  </si>
  <si>
    <t>Credit Amount appears to be a meaningful risk driver and may serve as a candidate variable for underwriting thresholds, pricing strategies, or predictive risk model</t>
  </si>
  <si>
    <t>Observation</t>
  </si>
  <si>
    <t>Duration &amp; Credit Amount Combined - Within each loan size, how does duration structure behave?</t>
  </si>
  <si>
    <r>
      <t xml:space="preserve"> High Exposure loans are </t>
    </r>
    <r>
      <rPr>
        <b/>
        <sz val="11"/>
        <color theme="1"/>
        <rFont val="Aptos Narrow"/>
        <family val="2"/>
        <scheme val="minor"/>
      </rPr>
      <t>not dominated by High Risk customers</t>
    </r>
  </si>
  <si>
    <t xml:space="preserve"> High Risk customers exist across all exposures</t>
  </si>
  <si>
    <t xml:space="preserve"> Low Exposure still contains many High Risk → small loans ≠ safe loans</t>
  </si>
  <si>
    <t xml:space="preserve"> Risk vs Exposure_Category Analysis</t>
  </si>
  <si>
    <t xml:space="preserve"> Risk vs Duration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</si>
</sst>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theme="1"/>
      <name val="Aptos Narrow"/>
      <family val="2"/>
      <scheme val="minor"/>
    </font>
    <font>
      <b/>
      <sz val="11"/>
      <color theme="1"/>
      <name val="Aptos Narrow"/>
      <family val="2"/>
      <scheme val="minor"/>
    </font>
    <font>
      <b/>
      <sz val="13.5"/>
      <color theme="1"/>
      <name val="Aptos Narrow"/>
      <family val="2"/>
      <scheme val="minor"/>
    </font>
    <font>
      <b/>
      <sz val="14"/>
      <color theme="1"/>
      <name val="Aptos Narrow"/>
      <family val="2"/>
      <scheme val="minor"/>
    </font>
    <font>
      <b/>
      <sz val="12"/>
      <color theme="1"/>
      <name val="Aptos Narrow"/>
      <family val="2"/>
      <scheme val="minor"/>
    </font>
  </fonts>
  <fills count="9">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theme="0"/>
        <bgColor indexed="64"/>
      </patternFill>
    </fill>
    <fill>
      <patternFill patternType="solid">
        <fgColor theme="0"/>
        <bgColor theme="4" tint="0.79998168889431442"/>
      </patternFill>
    </fill>
    <fill>
      <patternFill patternType="solid">
        <fgColor theme="2"/>
        <bgColor indexed="64"/>
      </patternFill>
    </fill>
    <fill>
      <patternFill patternType="solid">
        <fgColor theme="5" tint="0.79998168889431442"/>
        <bgColor indexed="64"/>
      </patternFill>
    </fill>
    <fill>
      <patternFill patternType="solid">
        <fgColor theme="2" tint="-9.9978637043366805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31">
    <xf numFmtId="0" fontId="0" fillId="0" borderId="0" xfId="0"/>
    <xf numFmtId="0" fontId="0" fillId="2" borderId="0" xfId="0" applyFill="1"/>
    <xf numFmtId="0" fontId="0" fillId="3" borderId="0" xfId="0" applyFill="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center"/>
    </xf>
    <xf numFmtId="10" fontId="0" fillId="0" borderId="0" xfId="0" applyNumberFormat="1"/>
    <xf numFmtId="0" fontId="0" fillId="4" borderId="0" xfId="0" applyFill="1"/>
    <xf numFmtId="0" fontId="2" fillId="5" borderId="0" xfId="0" applyFont="1" applyFill="1" applyBorder="1"/>
    <xf numFmtId="10" fontId="0" fillId="4" borderId="0" xfId="1" applyNumberFormat="1" applyFont="1" applyFill="1" applyBorder="1"/>
    <xf numFmtId="0" fontId="0" fillId="6" borderId="1" xfId="0" applyFill="1" applyBorder="1"/>
    <xf numFmtId="0" fontId="4" fillId="6" borderId="1" xfId="0" applyFont="1" applyFill="1" applyBorder="1" applyAlignment="1">
      <alignment horizontal="center"/>
    </xf>
    <xf numFmtId="0" fontId="3" fillId="6" borderId="1" xfId="0" applyFont="1" applyFill="1" applyBorder="1" applyAlignment="1">
      <alignment horizontal="center" vertical="center"/>
    </xf>
    <xf numFmtId="0" fontId="0" fillId="6" borderId="1" xfId="0" applyFill="1" applyBorder="1" applyAlignment="1">
      <alignment horizontal="center" vertical="center"/>
    </xf>
    <xf numFmtId="0" fontId="2" fillId="7" borderId="1" xfId="0" applyFont="1" applyFill="1" applyBorder="1" applyAlignment="1">
      <alignment horizontal="center" vertical="center"/>
    </xf>
    <xf numFmtId="0" fontId="0" fillId="7" borderId="1" xfId="0" applyFill="1" applyBorder="1" applyAlignment="1">
      <alignment horizontal="center" vertical="center"/>
    </xf>
    <xf numFmtId="0" fontId="0" fillId="7" borderId="1" xfId="0" applyFill="1" applyBorder="1" applyAlignment="1">
      <alignment horizontal="center" vertical="center" wrapText="1"/>
    </xf>
    <xf numFmtId="0" fontId="0" fillId="0" borderId="1" xfId="0" applyBorder="1" applyAlignment="1">
      <alignment horizontal="center" vertical="center"/>
    </xf>
    <xf numFmtId="0" fontId="5" fillId="8" borderId="1" xfId="0" applyFont="1" applyFill="1" applyBorder="1" applyAlignment="1">
      <alignment horizontal="center" vertical="center"/>
    </xf>
    <xf numFmtId="0" fontId="0" fillId="0" borderId="1" xfId="0" applyBorder="1" applyAlignment="1">
      <alignment horizontal="center"/>
    </xf>
    <xf numFmtId="10" fontId="0" fillId="0" borderId="0" xfId="0" applyNumberFormat="1" applyAlignment="1">
      <alignment horizontal="center"/>
    </xf>
    <xf numFmtId="0" fontId="0" fillId="3" borderId="1" xfId="0" applyFill="1" applyBorder="1" applyAlignment="1">
      <alignment horizontal="center" vertical="center"/>
    </xf>
    <xf numFmtId="0" fontId="2" fillId="2" borderId="1" xfId="0" applyFont="1" applyFill="1" applyBorder="1" applyAlignment="1">
      <alignment horizontal="center" vertical="center"/>
    </xf>
    <xf numFmtId="0" fontId="4" fillId="2" borderId="1" xfId="0" applyFont="1" applyFill="1" applyBorder="1" applyAlignment="1">
      <alignment horizontal="center"/>
    </xf>
    <xf numFmtId="0" fontId="2" fillId="8" borderId="1" xfId="0" applyFont="1" applyFill="1" applyBorder="1" applyAlignment="1">
      <alignment horizontal="center" vertical="center"/>
    </xf>
    <xf numFmtId="0" fontId="4" fillId="2" borderId="1" xfId="0" applyFont="1" applyFill="1" applyBorder="1" applyAlignment="1">
      <alignment horizontal="center" vertical="center"/>
    </xf>
    <xf numFmtId="0" fontId="4" fillId="8" borderId="1" xfId="0" applyFont="1" applyFill="1" applyBorder="1" applyAlignment="1">
      <alignment horizontal="center" vertical="center"/>
    </xf>
    <xf numFmtId="0" fontId="0" fillId="0" borderId="1" xfId="0" applyFill="1" applyBorder="1" applyAlignment="1">
      <alignment horizontal="center" vertical="center"/>
    </xf>
    <xf numFmtId="0" fontId="0" fillId="0" borderId="1" xfId="0" applyFill="1" applyBorder="1"/>
    <xf numFmtId="0" fontId="4" fillId="2" borderId="1" xfId="0" applyFont="1" applyFill="1" applyBorder="1" applyAlignment="1">
      <alignment horizontal="center" wrapText="1"/>
    </xf>
  </cellXfs>
  <cellStyles count="2">
    <cellStyle name="Normal" xfId="0" builtinId="0"/>
    <cellStyle name="Percent" xfId="1" builtinId="5"/>
  </cellStyles>
  <dxfs count="13">
    <dxf>
      <alignment vertical="bottom"/>
    </dxf>
    <dxf>
      <alignment vertical="bottom"/>
    </dxf>
    <dxf>
      <alignment vertical="bottom"/>
    </dxf>
    <dxf>
      <alignment vertical="bottom"/>
    </dxf>
    <dxf>
      <alignment vertical="bottom"/>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data file.xlsx]3.  Risk vs Duration!PivotTable4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'3.  Risk vs Duration'!$B$3:$B$4</c:f>
              <c:strCache>
                <c:ptCount val="1"/>
                <c:pt idx="0">
                  <c:v>0-11</c:v>
                </c:pt>
              </c:strCache>
            </c:strRef>
          </c:tx>
          <c:spPr>
            <a:solidFill>
              <a:schemeClr val="accent1"/>
            </a:solidFill>
            <a:ln>
              <a:noFill/>
            </a:ln>
            <a:effectLst/>
          </c:spPr>
          <c:invertIfNegative val="0"/>
          <c:cat>
            <c:strRef>
              <c:f>'3.  Risk vs Duration'!$A$5:$A$7</c:f>
              <c:strCache>
                <c:ptCount val="2"/>
                <c:pt idx="0">
                  <c:v>Low Risk</c:v>
                </c:pt>
                <c:pt idx="1">
                  <c:v>High Risk</c:v>
                </c:pt>
              </c:strCache>
            </c:strRef>
          </c:cat>
          <c:val>
            <c:numRef>
              <c:f>'3.  Risk vs Duration'!$B$5:$B$7</c:f>
              <c:numCache>
                <c:formatCode>General</c:formatCode>
                <c:ptCount val="2"/>
                <c:pt idx="0">
                  <c:v>148</c:v>
                </c:pt>
                <c:pt idx="1">
                  <c:v>27</c:v>
                </c:pt>
              </c:numCache>
            </c:numRef>
          </c:val>
          <c:extLst>
            <c:ext xmlns:c16="http://schemas.microsoft.com/office/drawing/2014/chart" uri="{C3380CC4-5D6E-409C-BE32-E72D297353CC}">
              <c16:uniqueId val="{00000000-F762-4F48-BFDB-B1FCFADCEF54}"/>
            </c:ext>
          </c:extLst>
        </c:ser>
        <c:ser>
          <c:idx val="1"/>
          <c:order val="1"/>
          <c:tx>
            <c:strRef>
              <c:f>'3.  Risk vs Duration'!$C$3:$C$4</c:f>
              <c:strCache>
                <c:ptCount val="1"/>
                <c:pt idx="0">
                  <c:v>12-23</c:v>
                </c:pt>
              </c:strCache>
            </c:strRef>
          </c:tx>
          <c:spPr>
            <a:solidFill>
              <a:schemeClr val="accent2"/>
            </a:solidFill>
            <a:ln>
              <a:noFill/>
            </a:ln>
            <a:effectLst/>
          </c:spPr>
          <c:invertIfNegative val="0"/>
          <c:cat>
            <c:strRef>
              <c:f>'3.  Risk vs Duration'!$A$5:$A$7</c:f>
              <c:strCache>
                <c:ptCount val="2"/>
                <c:pt idx="0">
                  <c:v>Low Risk</c:v>
                </c:pt>
                <c:pt idx="1">
                  <c:v>High Risk</c:v>
                </c:pt>
              </c:strCache>
            </c:strRef>
          </c:cat>
          <c:val>
            <c:numRef>
              <c:f>'3.  Risk vs Duration'!$C$5:$C$7</c:f>
              <c:numCache>
                <c:formatCode>General</c:formatCode>
                <c:ptCount val="2"/>
                <c:pt idx="0">
                  <c:v>276</c:v>
                </c:pt>
                <c:pt idx="1">
                  <c:v>114</c:v>
                </c:pt>
              </c:numCache>
            </c:numRef>
          </c:val>
          <c:extLst>
            <c:ext xmlns:c16="http://schemas.microsoft.com/office/drawing/2014/chart" uri="{C3380CC4-5D6E-409C-BE32-E72D297353CC}">
              <c16:uniqueId val="{00000001-F762-4F48-BFDB-B1FCFADCEF54}"/>
            </c:ext>
          </c:extLst>
        </c:ser>
        <c:ser>
          <c:idx val="2"/>
          <c:order val="2"/>
          <c:tx>
            <c:strRef>
              <c:f>'3.  Risk vs Duration'!$D$3:$D$4</c:f>
              <c:strCache>
                <c:ptCount val="1"/>
                <c:pt idx="0">
                  <c:v>24-35</c:v>
                </c:pt>
              </c:strCache>
            </c:strRef>
          </c:tx>
          <c:spPr>
            <a:solidFill>
              <a:schemeClr val="accent3"/>
            </a:solidFill>
            <a:ln>
              <a:noFill/>
            </a:ln>
            <a:effectLst/>
          </c:spPr>
          <c:invertIfNegative val="0"/>
          <c:cat>
            <c:strRef>
              <c:f>'3.  Risk vs Duration'!$A$5:$A$7</c:f>
              <c:strCache>
                <c:ptCount val="2"/>
                <c:pt idx="0">
                  <c:v>Low Risk</c:v>
                </c:pt>
                <c:pt idx="1">
                  <c:v>High Risk</c:v>
                </c:pt>
              </c:strCache>
            </c:strRef>
          </c:cat>
          <c:val>
            <c:numRef>
              <c:f>'3.  Risk vs Duration'!$D$5:$D$7</c:f>
              <c:numCache>
                <c:formatCode>General</c:formatCode>
                <c:ptCount val="2"/>
                <c:pt idx="0">
                  <c:v>157</c:v>
                </c:pt>
                <c:pt idx="1">
                  <c:v>70</c:v>
                </c:pt>
              </c:numCache>
            </c:numRef>
          </c:val>
          <c:extLst>
            <c:ext xmlns:c16="http://schemas.microsoft.com/office/drawing/2014/chart" uri="{C3380CC4-5D6E-409C-BE32-E72D297353CC}">
              <c16:uniqueId val="{00000002-F762-4F48-BFDB-B1FCFADCEF54}"/>
            </c:ext>
          </c:extLst>
        </c:ser>
        <c:ser>
          <c:idx val="3"/>
          <c:order val="3"/>
          <c:tx>
            <c:strRef>
              <c:f>'3.  Risk vs Duration'!$E$3:$E$4</c:f>
              <c:strCache>
                <c:ptCount val="1"/>
                <c:pt idx="0">
                  <c:v>36-47</c:v>
                </c:pt>
              </c:strCache>
            </c:strRef>
          </c:tx>
          <c:spPr>
            <a:solidFill>
              <a:schemeClr val="accent4"/>
            </a:solidFill>
            <a:ln>
              <a:noFill/>
            </a:ln>
            <a:effectLst/>
          </c:spPr>
          <c:invertIfNegative val="0"/>
          <c:cat>
            <c:strRef>
              <c:f>'3.  Risk vs Duration'!$A$5:$A$7</c:f>
              <c:strCache>
                <c:ptCount val="2"/>
                <c:pt idx="0">
                  <c:v>Low Risk</c:v>
                </c:pt>
                <c:pt idx="1">
                  <c:v>High Risk</c:v>
                </c:pt>
              </c:strCache>
            </c:strRef>
          </c:cat>
          <c:val>
            <c:numRef>
              <c:f>'3.  Risk vs Duration'!$E$5:$E$7</c:f>
              <c:numCache>
                <c:formatCode>General</c:formatCode>
                <c:ptCount val="2"/>
                <c:pt idx="0">
                  <c:v>56</c:v>
                </c:pt>
                <c:pt idx="1">
                  <c:v>44</c:v>
                </c:pt>
              </c:numCache>
            </c:numRef>
          </c:val>
          <c:extLst>
            <c:ext xmlns:c16="http://schemas.microsoft.com/office/drawing/2014/chart" uri="{C3380CC4-5D6E-409C-BE32-E72D297353CC}">
              <c16:uniqueId val="{00000003-F762-4F48-BFDB-B1FCFADCEF54}"/>
            </c:ext>
          </c:extLst>
        </c:ser>
        <c:ser>
          <c:idx val="4"/>
          <c:order val="4"/>
          <c:tx>
            <c:strRef>
              <c:f>'3.  Risk vs Duration'!$F$3:$F$4</c:f>
              <c:strCache>
                <c:ptCount val="1"/>
                <c:pt idx="0">
                  <c:v>48-59</c:v>
                </c:pt>
              </c:strCache>
            </c:strRef>
          </c:tx>
          <c:spPr>
            <a:solidFill>
              <a:schemeClr val="accent5"/>
            </a:solidFill>
            <a:ln>
              <a:noFill/>
            </a:ln>
            <a:effectLst/>
          </c:spPr>
          <c:invertIfNegative val="0"/>
          <c:cat>
            <c:strRef>
              <c:f>'3.  Risk vs Duration'!$A$5:$A$7</c:f>
              <c:strCache>
                <c:ptCount val="2"/>
                <c:pt idx="0">
                  <c:v>Low Risk</c:v>
                </c:pt>
                <c:pt idx="1">
                  <c:v>High Risk</c:v>
                </c:pt>
              </c:strCache>
            </c:strRef>
          </c:cat>
          <c:val>
            <c:numRef>
              <c:f>'3.  Risk vs Duration'!$F$5:$F$7</c:f>
              <c:numCache>
                <c:formatCode>General</c:formatCode>
                <c:ptCount val="2"/>
                <c:pt idx="0">
                  <c:v>21</c:v>
                </c:pt>
                <c:pt idx="1">
                  <c:v>28</c:v>
                </c:pt>
              </c:numCache>
            </c:numRef>
          </c:val>
          <c:extLst>
            <c:ext xmlns:c16="http://schemas.microsoft.com/office/drawing/2014/chart" uri="{C3380CC4-5D6E-409C-BE32-E72D297353CC}">
              <c16:uniqueId val="{00000004-F762-4F48-BFDB-B1FCFADCEF54}"/>
            </c:ext>
          </c:extLst>
        </c:ser>
        <c:ser>
          <c:idx val="5"/>
          <c:order val="5"/>
          <c:tx>
            <c:strRef>
              <c:f>'3.  Risk vs Duration'!$G$3:$G$4</c:f>
              <c:strCache>
                <c:ptCount val="1"/>
                <c:pt idx="0">
                  <c:v>60-72</c:v>
                </c:pt>
              </c:strCache>
            </c:strRef>
          </c:tx>
          <c:spPr>
            <a:solidFill>
              <a:schemeClr val="accent6"/>
            </a:solidFill>
            <a:ln>
              <a:noFill/>
            </a:ln>
            <a:effectLst/>
          </c:spPr>
          <c:invertIfNegative val="0"/>
          <c:cat>
            <c:strRef>
              <c:f>'3.  Risk vs Duration'!$A$5:$A$7</c:f>
              <c:strCache>
                <c:ptCount val="2"/>
                <c:pt idx="0">
                  <c:v>Low Risk</c:v>
                </c:pt>
                <c:pt idx="1">
                  <c:v>High Risk</c:v>
                </c:pt>
              </c:strCache>
            </c:strRef>
          </c:cat>
          <c:val>
            <c:numRef>
              <c:f>'3.  Risk vs Duration'!$G$5:$G$7</c:f>
              <c:numCache>
                <c:formatCode>General</c:formatCode>
                <c:ptCount val="2"/>
                <c:pt idx="0">
                  <c:v>7</c:v>
                </c:pt>
                <c:pt idx="1">
                  <c:v>6</c:v>
                </c:pt>
              </c:numCache>
            </c:numRef>
          </c:val>
          <c:extLst>
            <c:ext xmlns:c16="http://schemas.microsoft.com/office/drawing/2014/chart" uri="{C3380CC4-5D6E-409C-BE32-E72D297353CC}">
              <c16:uniqueId val="{00000005-F762-4F48-BFDB-B1FCFADCEF54}"/>
            </c:ext>
          </c:extLst>
        </c:ser>
        <c:dLbls>
          <c:showLegendKey val="0"/>
          <c:showVal val="0"/>
          <c:showCatName val="0"/>
          <c:showSerName val="0"/>
          <c:showPercent val="0"/>
          <c:showBubbleSize val="0"/>
        </c:dLbls>
        <c:gapWidth val="219"/>
        <c:overlap val="-27"/>
        <c:axId val="1235692511"/>
        <c:axId val="1235692991"/>
      </c:barChart>
      <c:catAx>
        <c:axId val="1235692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692991"/>
        <c:crosses val="autoZero"/>
        <c:auto val="1"/>
        <c:lblAlgn val="ctr"/>
        <c:lblOffset val="100"/>
        <c:noMultiLvlLbl val="0"/>
      </c:catAx>
      <c:valAx>
        <c:axId val="12356929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692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data file.xlsx]4. Does Age_Band influence risk!PivotTable5</c:name>
    <c:fmtId val="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Credit Risk Distribution by Age Band</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triangle"/>
          <c:size val="6"/>
          <c:spPr>
            <a:solidFill>
              <a:schemeClr val="accent3"/>
            </a:solidFill>
            <a:ln w="952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'4. Does Age_Band influence risk'!$B$3:$B$4</c:f>
              <c:strCache>
                <c:ptCount val="1"/>
                <c:pt idx="0">
                  <c:v>Mid-Age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'4. Does Age_Band influence risk'!$A$5:$A$7</c:f>
              <c:strCache>
                <c:ptCount val="2"/>
                <c:pt idx="0">
                  <c:v>High Risk</c:v>
                </c:pt>
                <c:pt idx="1">
                  <c:v>Low Risk</c:v>
                </c:pt>
              </c:strCache>
            </c:strRef>
          </c:cat>
          <c:val>
            <c:numRef>
              <c:f>'4. Does Age_Band influence risk'!$B$5:$B$7</c:f>
              <c:numCache>
                <c:formatCode>0.00%</c:formatCode>
                <c:ptCount val="2"/>
                <c:pt idx="0">
                  <c:v>0.25</c:v>
                </c:pt>
                <c:pt idx="1">
                  <c:v>0.75</c:v>
                </c:pt>
              </c:numCache>
            </c:numRef>
          </c:val>
          <c:extLst>
            <c:ext xmlns:c16="http://schemas.microsoft.com/office/drawing/2014/chart" uri="{C3380CC4-5D6E-409C-BE32-E72D297353CC}">
              <c16:uniqueId val="{00000000-9064-42B6-880D-1BD432EFF441}"/>
            </c:ext>
          </c:extLst>
        </c:ser>
        <c:ser>
          <c:idx val="1"/>
          <c:order val="1"/>
          <c:tx>
            <c:strRef>
              <c:f>'4. Does Age_Band influence risk'!$C$3:$C$4</c:f>
              <c:strCache>
                <c:ptCount val="1"/>
                <c:pt idx="0">
                  <c:v>Senior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'4. Does Age_Band influence risk'!$A$5:$A$7</c:f>
              <c:strCache>
                <c:ptCount val="2"/>
                <c:pt idx="0">
                  <c:v>High Risk</c:v>
                </c:pt>
                <c:pt idx="1">
                  <c:v>Low Risk</c:v>
                </c:pt>
              </c:strCache>
            </c:strRef>
          </c:cat>
          <c:val>
            <c:numRef>
              <c:f>'4. Does Age_Band influence risk'!$C$5:$C$7</c:f>
              <c:numCache>
                <c:formatCode>0.00%</c:formatCode>
                <c:ptCount val="2"/>
                <c:pt idx="0">
                  <c:v>0.22727272727272727</c:v>
                </c:pt>
                <c:pt idx="1">
                  <c:v>0.77272727272727271</c:v>
                </c:pt>
              </c:numCache>
            </c:numRef>
          </c:val>
          <c:extLst>
            <c:ext xmlns:c16="http://schemas.microsoft.com/office/drawing/2014/chart" uri="{C3380CC4-5D6E-409C-BE32-E72D297353CC}">
              <c16:uniqueId val="{00000001-9064-42B6-880D-1BD432EFF441}"/>
            </c:ext>
          </c:extLst>
        </c:ser>
        <c:ser>
          <c:idx val="2"/>
          <c:order val="2"/>
          <c:tx>
            <c:strRef>
              <c:f>'4. Does Age_Band influence risk'!$D$3:$D$4</c:f>
              <c:strCache>
                <c:ptCount val="1"/>
                <c:pt idx="0">
                  <c:v>Young</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'4. Does Age_Band influence risk'!$A$5:$A$7</c:f>
              <c:strCache>
                <c:ptCount val="2"/>
                <c:pt idx="0">
                  <c:v>High Risk</c:v>
                </c:pt>
                <c:pt idx="1">
                  <c:v>Low Risk</c:v>
                </c:pt>
              </c:strCache>
            </c:strRef>
          </c:cat>
          <c:val>
            <c:numRef>
              <c:f>'4. Does Age_Band influence risk'!$D$5:$D$7</c:f>
              <c:numCache>
                <c:formatCode>0.00%</c:formatCode>
                <c:ptCount val="2"/>
                <c:pt idx="0">
                  <c:v>0.47872340425531917</c:v>
                </c:pt>
                <c:pt idx="1">
                  <c:v>0.52127659574468088</c:v>
                </c:pt>
              </c:numCache>
            </c:numRef>
          </c:val>
          <c:extLst>
            <c:ext xmlns:c16="http://schemas.microsoft.com/office/drawing/2014/chart" uri="{C3380CC4-5D6E-409C-BE32-E72D297353CC}">
              <c16:uniqueId val="{00000002-9064-42B6-880D-1BD432EFF441}"/>
            </c:ext>
          </c:extLst>
        </c:ser>
        <c:dLbls>
          <c:dLblPos val="ctr"/>
          <c:showLegendKey val="0"/>
          <c:showVal val="1"/>
          <c:showCatName val="0"/>
          <c:showSerName val="0"/>
          <c:showPercent val="0"/>
          <c:showBubbleSize val="0"/>
        </c:dLbls>
        <c:gapWidth val="79"/>
        <c:overlap val="100"/>
        <c:axId val="1437885455"/>
        <c:axId val="1437887375"/>
      </c:barChart>
      <c:catAx>
        <c:axId val="14378854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437887375"/>
        <c:crosses val="autoZero"/>
        <c:auto val="1"/>
        <c:lblAlgn val="ctr"/>
        <c:lblOffset val="100"/>
        <c:noMultiLvlLbl val="0"/>
      </c:catAx>
      <c:valAx>
        <c:axId val="1437887375"/>
        <c:scaling>
          <c:orientation val="minMax"/>
        </c:scaling>
        <c:delete val="1"/>
        <c:axPos val="l"/>
        <c:numFmt formatCode="0%" sourceLinked="1"/>
        <c:majorTickMark val="none"/>
        <c:minorTickMark val="none"/>
        <c:tickLblPos val="nextTo"/>
        <c:crossAx val="1437885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data file.xlsx]5. Risk vs Credit Amount!PivotTable6</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Risk vs Credit Amount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'5. Risk vs Credit Amount'!$B$3:$B$4</c:f>
              <c:strCache>
                <c:ptCount val="1"/>
                <c:pt idx="0">
                  <c:v>High Risk</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'5. Risk vs Credit Amount'!$A$5:$A$14</c:f>
              <c:strCache>
                <c:ptCount val="9"/>
                <c:pt idx="0">
                  <c:v>250-2249</c:v>
                </c:pt>
                <c:pt idx="1">
                  <c:v>2250-4249</c:v>
                </c:pt>
                <c:pt idx="2">
                  <c:v>4250-6249</c:v>
                </c:pt>
                <c:pt idx="3">
                  <c:v>6250-8249</c:v>
                </c:pt>
                <c:pt idx="4">
                  <c:v>8250-10249</c:v>
                </c:pt>
                <c:pt idx="5">
                  <c:v>10250-12249</c:v>
                </c:pt>
                <c:pt idx="6">
                  <c:v>12250-14249</c:v>
                </c:pt>
                <c:pt idx="7">
                  <c:v>14250-16249</c:v>
                </c:pt>
                <c:pt idx="8">
                  <c:v>18250-20249</c:v>
                </c:pt>
              </c:strCache>
            </c:strRef>
          </c:cat>
          <c:val>
            <c:numRef>
              <c:f>'5. Risk vs Credit Amount'!$B$5:$B$14</c:f>
              <c:numCache>
                <c:formatCode>0.00%</c:formatCode>
                <c:ptCount val="9"/>
                <c:pt idx="0">
                  <c:v>0.2811158798283262</c:v>
                </c:pt>
                <c:pt idx="1">
                  <c:v>0.24719101123595505</c:v>
                </c:pt>
                <c:pt idx="2">
                  <c:v>0.34831460674157305</c:v>
                </c:pt>
                <c:pt idx="3">
                  <c:v>0.39705882352941174</c:v>
                </c:pt>
                <c:pt idx="4">
                  <c:v>0.40740740740740738</c:v>
                </c:pt>
                <c:pt idx="5">
                  <c:v>0.5</c:v>
                </c:pt>
                <c:pt idx="6">
                  <c:v>0.66666666666666663</c:v>
                </c:pt>
                <c:pt idx="7">
                  <c:v>0.77777777777777779</c:v>
                </c:pt>
                <c:pt idx="8">
                  <c:v>1</c:v>
                </c:pt>
              </c:numCache>
            </c:numRef>
          </c:val>
          <c:extLst>
            <c:ext xmlns:c16="http://schemas.microsoft.com/office/drawing/2014/chart" uri="{C3380CC4-5D6E-409C-BE32-E72D297353CC}">
              <c16:uniqueId val="{00000000-693B-4596-87A8-D4EF599E0912}"/>
            </c:ext>
          </c:extLst>
        </c:ser>
        <c:ser>
          <c:idx val="1"/>
          <c:order val="1"/>
          <c:tx>
            <c:strRef>
              <c:f>'5. Risk vs Credit Amount'!$C$3:$C$4</c:f>
              <c:strCache>
                <c:ptCount val="1"/>
                <c:pt idx="0">
                  <c:v>Low Risk</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'5. Risk vs Credit Amount'!$A$5:$A$14</c:f>
              <c:strCache>
                <c:ptCount val="9"/>
                <c:pt idx="0">
                  <c:v>250-2249</c:v>
                </c:pt>
                <c:pt idx="1">
                  <c:v>2250-4249</c:v>
                </c:pt>
                <c:pt idx="2">
                  <c:v>4250-6249</c:v>
                </c:pt>
                <c:pt idx="3">
                  <c:v>6250-8249</c:v>
                </c:pt>
                <c:pt idx="4">
                  <c:v>8250-10249</c:v>
                </c:pt>
                <c:pt idx="5">
                  <c:v>10250-12249</c:v>
                </c:pt>
                <c:pt idx="6">
                  <c:v>12250-14249</c:v>
                </c:pt>
                <c:pt idx="7">
                  <c:v>14250-16249</c:v>
                </c:pt>
                <c:pt idx="8">
                  <c:v>18250-20249</c:v>
                </c:pt>
              </c:strCache>
            </c:strRef>
          </c:cat>
          <c:val>
            <c:numRef>
              <c:f>'5. Risk vs Credit Amount'!$C$5:$C$14</c:f>
              <c:numCache>
                <c:formatCode>0.00%</c:formatCode>
                <c:ptCount val="9"/>
                <c:pt idx="0">
                  <c:v>0.7188841201716738</c:v>
                </c:pt>
                <c:pt idx="1">
                  <c:v>0.7528089887640449</c:v>
                </c:pt>
                <c:pt idx="2">
                  <c:v>0.651685393258427</c:v>
                </c:pt>
                <c:pt idx="3">
                  <c:v>0.6029411764705882</c:v>
                </c:pt>
                <c:pt idx="4">
                  <c:v>0.59259259259259256</c:v>
                </c:pt>
                <c:pt idx="5">
                  <c:v>0.5</c:v>
                </c:pt>
                <c:pt idx="6">
                  <c:v>0.33333333333333331</c:v>
                </c:pt>
                <c:pt idx="7">
                  <c:v>0.22222222222222221</c:v>
                </c:pt>
                <c:pt idx="8">
                  <c:v>0</c:v>
                </c:pt>
              </c:numCache>
            </c:numRef>
          </c:val>
          <c:extLst>
            <c:ext xmlns:c16="http://schemas.microsoft.com/office/drawing/2014/chart" uri="{C3380CC4-5D6E-409C-BE32-E72D297353CC}">
              <c16:uniqueId val="{00000001-693B-4596-87A8-D4EF599E0912}"/>
            </c:ext>
          </c:extLst>
        </c:ser>
        <c:dLbls>
          <c:showLegendKey val="0"/>
          <c:showVal val="0"/>
          <c:showCatName val="0"/>
          <c:showSerName val="0"/>
          <c:showPercent val="0"/>
          <c:showBubbleSize val="0"/>
        </c:dLbls>
        <c:gapWidth val="150"/>
        <c:overlap val="100"/>
        <c:axId val="1437933935"/>
        <c:axId val="1437935375"/>
      </c:barChart>
      <c:catAx>
        <c:axId val="143793393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37935375"/>
        <c:crosses val="autoZero"/>
        <c:auto val="1"/>
        <c:lblAlgn val="ctr"/>
        <c:lblOffset val="100"/>
        <c:noMultiLvlLbl val="0"/>
      </c:catAx>
      <c:valAx>
        <c:axId val="1437935375"/>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37933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558800</xdr:colOff>
      <xdr:row>8</xdr:row>
      <xdr:rowOff>114300</xdr:rowOff>
    </xdr:from>
    <xdr:to>
      <xdr:col>12</xdr:col>
      <xdr:colOff>38100</xdr:colOff>
      <xdr:row>26</xdr:row>
      <xdr:rowOff>98425</xdr:rowOff>
    </xdr:to>
    <xdr:graphicFrame macro="">
      <xdr:nvGraphicFramePr>
        <xdr:cNvPr id="2" name="Chart 1">
          <a:extLst>
            <a:ext uri="{FF2B5EF4-FFF2-40B4-BE49-F238E27FC236}">
              <a16:creationId xmlns:a16="http://schemas.microsoft.com/office/drawing/2014/main" id="{E737BF91-84CB-2660-E49B-1DBA15AB33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114300</xdr:colOff>
      <xdr:row>8</xdr:row>
      <xdr:rowOff>104774</xdr:rowOff>
    </xdr:from>
    <xdr:to>
      <xdr:col>7</xdr:col>
      <xdr:colOff>215900</xdr:colOff>
      <xdr:row>27</xdr:row>
      <xdr:rowOff>95250</xdr:rowOff>
    </xdr:to>
    <xdr:graphicFrame macro="">
      <xdr:nvGraphicFramePr>
        <xdr:cNvPr id="3" name="Credit Risk Distribution by Age Band">
          <a:extLst>
            <a:ext uri="{FF2B5EF4-FFF2-40B4-BE49-F238E27FC236}">
              <a16:creationId xmlns:a16="http://schemas.microsoft.com/office/drawing/2014/main" id="{B69B1C0F-AC8E-DB07-827A-F12F85D128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552450</xdr:colOff>
      <xdr:row>7</xdr:row>
      <xdr:rowOff>69850</xdr:rowOff>
    </xdr:from>
    <xdr:to>
      <xdr:col>10</xdr:col>
      <xdr:colOff>552450</xdr:colOff>
      <xdr:row>13</xdr:row>
      <xdr:rowOff>114300</xdr:rowOff>
    </xdr:to>
    <mc:AlternateContent xmlns:mc="http://schemas.openxmlformats.org/markup-compatibility/2006">
      <mc:Choice xmlns:a14="http://schemas.microsoft.com/office/drawing/2010/main" Requires="a14">
        <xdr:graphicFrame macro="">
          <xdr:nvGraphicFramePr>
            <xdr:cNvPr id="4" name="Sex">
              <a:extLst>
                <a:ext uri="{FF2B5EF4-FFF2-40B4-BE49-F238E27FC236}">
                  <a16:creationId xmlns:a16="http://schemas.microsoft.com/office/drawing/2014/main" id="{BEEEC722-4764-7996-BB95-D845256B60CE}"/>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dr:sp macro="" textlink="">
          <xdr:nvSpPr>
            <xdr:cNvPr id="0" name=""/>
            <xdr:cNvSpPr>
              <a:spLocks noTextEdit="1"/>
            </xdr:cNvSpPr>
          </xdr:nvSpPr>
          <xdr:spPr>
            <a:xfrm>
              <a:off x="5911850" y="1447800"/>
              <a:ext cx="1828800" cy="1187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552450</xdr:colOff>
      <xdr:row>13</xdr:row>
      <xdr:rowOff>184150</xdr:rowOff>
    </xdr:from>
    <xdr:to>
      <xdr:col>10</xdr:col>
      <xdr:colOff>552450</xdr:colOff>
      <xdr:row>20</xdr:row>
      <xdr:rowOff>107950</xdr:rowOff>
    </xdr:to>
    <mc:AlternateContent xmlns:mc="http://schemas.openxmlformats.org/markup-compatibility/2006">
      <mc:Choice xmlns:a14="http://schemas.microsoft.com/office/drawing/2010/main" Requires="a14">
        <xdr:graphicFrame macro="">
          <xdr:nvGraphicFramePr>
            <xdr:cNvPr id="5" name="Housing">
              <a:extLst>
                <a:ext uri="{FF2B5EF4-FFF2-40B4-BE49-F238E27FC236}">
                  <a16:creationId xmlns:a16="http://schemas.microsoft.com/office/drawing/2014/main" id="{A0255465-857E-734A-EE3B-F3D32786680D}"/>
                </a:ext>
              </a:extLst>
            </xdr:cNvPr>
            <xdr:cNvGraphicFramePr/>
          </xdr:nvGraphicFramePr>
          <xdr:xfrm>
            <a:off x="0" y="0"/>
            <a:ext cx="0" cy="0"/>
          </xdr:xfrm>
          <a:graphic>
            <a:graphicData uri="http://schemas.microsoft.com/office/drawing/2010/slicer">
              <sle:slicer xmlns:sle="http://schemas.microsoft.com/office/drawing/2010/slicer" name="Housing"/>
            </a:graphicData>
          </a:graphic>
        </xdr:graphicFrame>
      </mc:Choice>
      <mc:Fallback>
        <xdr:sp macro="" textlink="">
          <xdr:nvSpPr>
            <xdr:cNvPr id="0" name=""/>
            <xdr:cNvSpPr>
              <a:spLocks noTextEdit="1"/>
            </xdr:cNvSpPr>
          </xdr:nvSpPr>
          <xdr:spPr>
            <a:xfrm>
              <a:off x="5911850" y="2705100"/>
              <a:ext cx="1828800" cy="1250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476250</xdr:colOff>
      <xdr:row>21</xdr:row>
      <xdr:rowOff>31750</xdr:rowOff>
    </xdr:from>
    <xdr:to>
      <xdr:col>10</xdr:col>
      <xdr:colOff>476250</xdr:colOff>
      <xdr:row>32</xdr:row>
      <xdr:rowOff>22222</xdr:rowOff>
    </xdr:to>
    <mc:AlternateContent xmlns:mc="http://schemas.openxmlformats.org/markup-compatibility/2006">
      <mc:Choice xmlns:a14="http://schemas.microsoft.com/office/drawing/2010/main" Requires="a14">
        <xdr:graphicFrame macro="">
          <xdr:nvGraphicFramePr>
            <xdr:cNvPr id="6" name="Purpose">
              <a:extLst>
                <a:ext uri="{FF2B5EF4-FFF2-40B4-BE49-F238E27FC236}">
                  <a16:creationId xmlns:a16="http://schemas.microsoft.com/office/drawing/2014/main" id="{A5EFFF03-F192-DA5F-F80B-05F4FB8490AB}"/>
                </a:ext>
              </a:extLst>
            </xdr:cNvPr>
            <xdr:cNvGraphicFramePr/>
          </xdr:nvGraphicFramePr>
          <xdr:xfrm>
            <a:off x="0" y="0"/>
            <a:ext cx="0" cy="0"/>
          </xdr:xfrm>
          <a:graphic>
            <a:graphicData uri="http://schemas.microsoft.com/office/drawing/2010/slicer">
              <sle:slicer xmlns:sle="http://schemas.microsoft.com/office/drawing/2010/slicer" name="Purpose"/>
            </a:graphicData>
          </a:graphic>
        </xdr:graphicFrame>
      </mc:Choice>
      <mc:Fallback>
        <xdr:sp macro="" textlink="">
          <xdr:nvSpPr>
            <xdr:cNvPr id="0" name=""/>
            <xdr:cNvSpPr>
              <a:spLocks noTextEdit="1"/>
            </xdr:cNvSpPr>
          </xdr:nvSpPr>
          <xdr:spPr>
            <a:xfrm>
              <a:off x="5835650" y="40640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88900</xdr:colOff>
      <xdr:row>1</xdr:row>
      <xdr:rowOff>174624</xdr:rowOff>
    </xdr:from>
    <xdr:to>
      <xdr:col>18</xdr:col>
      <xdr:colOff>127000</xdr:colOff>
      <xdr:row>20</xdr:row>
      <xdr:rowOff>133350</xdr:rowOff>
    </xdr:to>
    <xdr:graphicFrame macro="">
      <xdr:nvGraphicFramePr>
        <xdr:cNvPr id="2" name="Chart 1">
          <a:extLst>
            <a:ext uri="{FF2B5EF4-FFF2-40B4-BE49-F238E27FC236}">
              <a16:creationId xmlns:a16="http://schemas.microsoft.com/office/drawing/2014/main" id="{062337C0-4698-818A-814A-851237C09D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ledemo" refreshedDate="46070.598170486111" createdVersion="8" refreshedVersion="8" minRefreshableVersion="3" recordCount="954" xr:uid="{F84A295F-7808-44AA-97EB-A82B4A448F34}">
  <cacheSource type="worksheet">
    <worksheetSource ref="A1:M955" sheet="CLEANED DATA"/>
  </cacheSource>
  <cacheFields count="13">
    <cacheField name="Age" numFmtId="0">
      <sharedItems containsSemiMixedTypes="0" containsString="0" containsNumber="1" containsInteger="1" minValue="19" maxValue="75"/>
    </cacheField>
    <cacheField name="Age_Band" numFmtId="0">
      <sharedItems count="3">
        <s v="Senior"/>
        <s v="Young"/>
        <s v="Mid-Age"/>
      </sharedItems>
    </cacheField>
    <cacheField name="Sex" numFmtId="0">
      <sharedItems count="2">
        <s v="Male"/>
        <s v="Female"/>
      </sharedItems>
    </cacheField>
    <cacheField name="Job" numFmtId="0">
      <sharedItems containsSemiMixedTypes="0" containsString="0" containsNumber="1" containsInteger="1" minValue="0" maxValue="3"/>
    </cacheField>
    <cacheField name="Housing" numFmtId="0">
      <sharedItems count="3">
        <s v="Own"/>
        <s v="Free"/>
        <s v="Rent"/>
      </sharedItems>
    </cacheField>
    <cacheField name="Saving accounts" numFmtId="0">
      <sharedItems/>
    </cacheField>
    <cacheField name="Checking account" numFmtId="0">
      <sharedItems count="4">
        <s v="Little"/>
        <s v="Moderate"/>
        <s v="No Account"/>
        <s v="Rich"/>
      </sharedItems>
    </cacheField>
    <cacheField name="Credit amount" numFmtId="0">
      <sharedItems containsSemiMixedTypes="0" containsString="0" containsNumber="1" containsInteger="1" minValue="250" maxValue="18424" count="884">
        <n v="1169"/>
        <n v="5951"/>
        <n v="2096"/>
        <n v="7882"/>
        <n v="4870"/>
        <n v="9055"/>
        <n v="2835"/>
        <n v="6948"/>
        <n v="3059"/>
        <n v="5234"/>
        <n v="1295"/>
        <n v="4308"/>
        <n v="1567"/>
        <n v="1199"/>
        <n v="1403"/>
        <n v="1282"/>
        <n v="2424"/>
        <n v="8072"/>
        <n v="12579"/>
        <n v="3430"/>
        <n v="2134"/>
        <n v="2647"/>
        <n v="2241"/>
        <n v="1804"/>
        <n v="2069"/>
        <n v="1374"/>
        <n v="426"/>
        <n v="409"/>
        <n v="2415"/>
        <n v="6836"/>
        <n v="1913"/>
        <n v="4020"/>
        <n v="5866"/>
        <n v="1264"/>
        <n v="1474"/>
        <n v="4746"/>
        <n v="6110"/>
        <n v="2100"/>
        <n v="1225"/>
        <n v="458"/>
        <n v="2333"/>
        <n v="1158"/>
        <n v="6204"/>
        <n v="6187"/>
        <n v="6143"/>
        <n v="1393"/>
        <n v="2299"/>
        <n v="1352"/>
        <n v="7228"/>
        <n v="2073"/>
        <n v="5965"/>
        <n v="1262"/>
        <n v="3378"/>
        <n v="2225"/>
        <n v="783"/>
        <n v="6468"/>
        <n v="9566"/>
        <n v="1961"/>
        <n v="6229"/>
        <n v="1391"/>
        <n v="1537"/>
        <n v="1953"/>
        <n v="14421"/>
        <n v="3181"/>
        <n v="5190"/>
        <n v="2171"/>
        <n v="1007"/>
        <n v="1819"/>
        <n v="2394"/>
        <n v="8133"/>
        <n v="730"/>
        <n v="1164"/>
        <n v="5954"/>
        <n v="1977"/>
        <n v="1526"/>
        <n v="3965"/>
        <n v="4771"/>
        <n v="9436"/>
        <n v="3832"/>
        <n v="5943"/>
        <n v="1213"/>
        <n v="1568"/>
        <n v="1755"/>
        <n v="2315"/>
        <n v="1412"/>
        <n v="12612"/>
        <n v="2249"/>
        <n v="1108"/>
        <n v="618"/>
        <n v="1409"/>
        <n v="797"/>
        <n v="3617"/>
        <n v="1318"/>
        <n v="15945"/>
        <n v="2012"/>
        <n v="2622"/>
        <n v="2337"/>
        <n v="7057"/>
        <n v="1469"/>
        <n v="2323"/>
        <n v="932"/>
        <n v="1919"/>
        <n v="2445"/>
        <n v="11938"/>
        <n v="6458"/>
        <n v="6078"/>
        <n v="7721"/>
        <n v="1410"/>
        <n v="1449"/>
        <n v="392"/>
        <n v="6260"/>
        <n v="7855"/>
        <n v="1680"/>
        <n v="3578"/>
        <n v="7174"/>
        <n v="2132"/>
        <n v="4281"/>
        <n v="2366"/>
        <n v="1835"/>
        <n v="3868"/>
        <n v="1768"/>
        <n v="781"/>
        <n v="1924"/>
        <n v="2121"/>
        <n v="701"/>
        <n v="639"/>
        <n v="1860"/>
        <n v="3499"/>
        <n v="8487"/>
        <n v="6887"/>
        <n v="2708"/>
        <n v="1984"/>
        <n v="10144"/>
        <n v="1240"/>
        <n v="8613"/>
        <n v="766"/>
        <n v="2728"/>
        <n v="1881"/>
        <n v="709"/>
        <n v="4795"/>
        <n v="3416"/>
        <n v="2462"/>
        <n v="2288"/>
        <n v="3566"/>
        <n v="860"/>
        <n v="682"/>
        <n v="5371"/>
        <n v="1582"/>
        <n v="1346"/>
        <n v="5848"/>
        <n v="7758"/>
        <n v="6967"/>
        <n v="1288"/>
        <n v="339"/>
        <n v="3512"/>
        <n v="1898"/>
        <n v="2872"/>
        <n v="1055"/>
        <n v="7308"/>
        <n v="909"/>
        <n v="2978"/>
        <n v="1131"/>
        <n v="1577"/>
        <n v="3972"/>
        <n v="1935"/>
        <n v="950"/>
        <n v="763"/>
        <n v="2064"/>
        <n v="1414"/>
        <n v="3414"/>
        <n v="7485"/>
        <n v="2577"/>
        <n v="338"/>
        <n v="1963"/>
        <n v="571"/>
        <n v="9572"/>
        <n v="4455"/>
        <n v="1647"/>
        <n v="3777"/>
        <n v="884"/>
        <n v="1360"/>
        <n v="5129"/>
        <n v="1175"/>
        <n v="674"/>
        <n v="3244"/>
        <n v="4591"/>
        <n v="3844"/>
        <n v="3915"/>
        <n v="2108"/>
        <n v="3031"/>
        <n v="1501"/>
        <n v="1382"/>
        <n v="951"/>
        <n v="2760"/>
        <n v="4297"/>
        <n v="936"/>
        <n v="1168"/>
        <n v="5117"/>
        <n v="902"/>
        <n v="1495"/>
        <n v="10623"/>
        <n v="1424"/>
        <n v="6568"/>
        <n v="1413"/>
        <n v="3074"/>
        <n v="3835"/>
        <n v="5293"/>
        <n v="1908"/>
        <n v="3342"/>
        <n v="3104"/>
        <n v="3913"/>
        <n v="3021"/>
        <n v="1364"/>
        <n v="625"/>
        <n v="1200"/>
        <n v="707"/>
        <n v="4657"/>
        <n v="2613"/>
        <n v="10961"/>
        <n v="7865"/>
        <n v="1478"/>
        <n v="3149"/>
        <n v="4210"/>
        <n v="2507"/>
        <n v="2141"/>
        <n v="866"/>
        <n v="1544"/>
        <n v="1823"/>
        <n v="14555"/>
        <n v="2767"/>
        <n v="1291"/>
        <n v="2522"/>
        <n v="915"/>
        <n v="1595"/>
        <n v="4605"/>
        <n v="1185"/>
        <n v="3447"/>
        <n v="1258"/>
        <n v="717"/>
        <n v="1204"/>
        <n v="1925"/>
        <n v="433"/>
        <n v="666"/>
        <n v="2251"/>
        <n v="2150"/>
        <n v="4151"/>
        <n v="2030"/>
        <n v="7418"/>
        <n v="2684"/>
        <n v="2149"/>
        <n v="3812"/>
        <n v="1154"/>
        <n v="1657"/>
        <n v="1603"/>
        <n v="5302"/>
        <n v="2748"/>
        <n v="1231"/>
        <n v="802"/>
        <n v="6304"/>
        <n v="1533"/>
        <n v="8978"/>
        <n v="999"/>
        <n v="2662"/>
        <n v="1402"/>
        <n v="12169"/>
        <n v="3060"/>
        <n v="11998"/>
        <n v="2697"/>
        <n v="2404"/>
        <n v="4611"/>
        <n v="1901"/>
        <n v="3368"/>
        <n v="1574"/>
        <n v="1445"/>
        <n v="1520"/>
        <n v="3878"/>
        <n v="10722"/>
        <n v="4788"/>
        <n v="7582"/>
        <n v="1092"/>
        <n v="1024"/>
        <n v="1076"/>
        <n v="9398"/>
        <n v="6419"/>
        <n v="4796"/>
        <n v="7629"/>
        <n v="9960"/>
        <n v="4675"/>
        <n v="1287"/>
        <n v="2515"/>
        <n v="2745"/>
        <n v="672"/>
        <n v="3804"/>
        <n v="1344"/>
        <n v="1038"/>
        <n v="10127"/>
        <n v="1543"/>
        <n v="4811"/>
        <n v="727"/>
        <n v="1237"/>
        <n v="276"/>
        <n v="5381"/>
        <n v="5511"/>
        <n v="3749"/>
        <n v="685"/>
        <n v="1494"/>
        <n v="2746"/>
        <n v="708"/>
        <n v="4351"/>
        <n v="3643"/>
        <n v="4249"/>
        <n v="1938"/>
        <n v="2910"/>
        <n v="2659"/>
        <n v="1028"/>
        <n v="3398"/>
        <n v="5801"/>
        <n v="1525"/>
        <n v="4473"/>
        <n v="1068"/>
        <n v="6615"/>
        <n v="1864"/>
        <n v="7408"/>
        <n v="11590"/>
        <n v="4110"/>
        <n v="3384"/>
        <n v="2101"/>
        <n v="1275"/>
        <n v="4169"/>
        <n v="1521"/>
        <n v="5743"/>
        <n v="3599"/>
        <n v="3213"/>
        <n v="4439"/>
        <n v="3949"/>
        <n v="1459"/>
        <n v="882"/>
        <n v="3758"/>
        <n v="1743"/>
        <n v="1136"/>
        <n v="1236"/>
        <n v="959"/>
        <n v="3229"/>
        <n v="6199"/>
        <n v="1246"/>
        <n v="2331"/>
        <n v="4463"/>
        <n v="776"/>
        <n v="2406"/>
        <n v="1239"/>
        <n v="3399"/>
        <n v="2247"/>
        <n v="1766"/>
        <n v="2473"/>
        <n v="1542"/>
        <n v="3850"/>
        <n v="3650"/>
        <n v="3446"/>
        <n v="3001"/>
        <n v="3079"/>
        <n v="6070"/>
        <n v="2146"/>
        <n v="13756"/>
        <n v="14782"/>
        <n v="7685"/>
        <n v="2320"/>
        <n v="846"/>
        <n v="14318"/>
        <n v="362"/>
        <n v="2212"/>
        <n v="12976"/>
        <n v="1283"/>
        <n v="1330"/>
        <n v="4272"/>
        <n v="2238"/>
        <n v="1126"/>
        <n v="7374"/>
        <n v="2326"/>
        <n v="1820"/>
        <n v="983"/>
        <n v="3249"/>
        <n v="1957"/>
        <n v="11760"/>
        <n v="2578"/>
        <n v="2348"/>
        <n v="1223"/>
        <n v="1516"/>
        <n v="1473"/>
        <n v="1887"/>
        <n v="8648"/>
        <n v="2899"/>
        <n v="2039"/>
        <n v="2197"/>
        <n v="1053"/>
        <n v="3235"/>
        <n v="939"/>
        <n v="1967"/>
        <n v="7253"/>
        <n v="2292"/>
        <n v="1597"/>
        <n v="1381"/>
        <n v="5842"/>
        <n v="2579"/>
        <n v="8471"/>
        <n v="2782"/>
        <n v="1042"/>
        <n v="3186"/>
        <n v="2028"/>
        <n v="958"/>
        <n v="1591"/>
        <n v="2762"/>
        <n v="2779"/>
        <n v="2743"/>
        <n v="1149"/>
        <n v="1313"/>
        <n v="1190"/>
        <n v="3448"/>
        <n v="11328"/>
        <n v="1872"/>
        <n v="2058"/>
        <n v="2136"/>
        <n v="1484"/>
        <n v="660"/>
        <n v="3394"/>
        <n v="609"/>
        <n v="1884"/>
        <n v="1620"/>
        <n v="2629"/>
        <n v="719"/>
        <n v="5096"/>
        <n v="1244"/>
        <n v="1842"/>
        <n v="2576"/>
        <n v="1512"/>
        <n v="11054"/>
        <n v="518"/>
        <n v="2759"/>
        <n v="2670"/>
        <n v="4817"/>
        <n v="2679"/>
        <n v="3905"/>
        <n v="3386"/>
        <n v="343"/>
        <n v="4594"/>
        <n v="3620"/>
        <n v="1721"/>
        <n v="3017"/>
        <n v="754"/>
        <n v="1950"/>
        <n v="2924"/>
        <n v="1659"/>
        <n v="7238"/>
        <n v="2764"/>
        <n v="4679"/>
        <n v="3092"/>
        <n v="448"/>
        <n v="654"/>
        <n v="1238"/>
        <n v="1245"/>
        <n v="3114"/>
        <n v="2569"/>
        <n v="5152"/>
        <n v="1037"/>
        <n v="3573"/>
        <n v="1201"/>
        <n v="3622"/>
        <n v="960"/>
        <n v="1163"/>
        <n v="1209"/>
        <n v="3077"/>
        <n v="3757"/>
        <n v="1418"/>
        <n v="3518"/>
        <n v="1934"/>
        <n v="8318"/>
        <n v="368"/>
        <n v="2122"/>
        <n v="2996"/>
        <n v="9034"/>
        <n v="1585"/>
        <n v="1301"/>
        <n v="1323"/>
        <n v="3123"/>
        <n v="5493"/>
        <n v="1216"/>
        <n v="1207"/>
        <n v="1309"/>
        <n v="2360"/>
        <n v="6850"/>
        <n v="8588"/>
        <n v="759"/>
        <n v="4686"/>
        <n v="2687"/>
        <n v="585"/>
        <n v="2255"/>
        <n v="1361"/>
        <n v="7127"/>
        <n v="1203"/>
        <n v="700"/>
        <n v="5507"/>
        <n v="3190"/>
        <n v="7119"/>
        <n v="3488"/>
        <n v="1113"/>
        <n v="7966"/>
        <n v="1532"/>
        <n v="1503"/>
        <n v="2302"/>
        <n v="662"/>
        <n v="2273"/>
        <n v="2631"/>
        <n v="1311"/>
        <n v="3105"/>
        <n v="2319"/>
        <n v="3612"/>
        <n v="7763"/>
        <n v="3049"/>
        <n v="1534"/>
        <n v="2032"/>
        <n v="6350"/>
        <n v="2864"/>
        <n v="1255"/>
        <n v="1333"/>
        <n v="2022"/>
        <n v="1552"/>
        <n v="626"/>
        <n v="8858"/>
        <n v="996"/>
        <n v="1750"/>
        <n v="6999"/>
        <n v="1995"/>
        <n v="1331"/>
        <n v="2278"/>
        <n v="5003"/>
        <n v="3552"/>
        <n v="1928"/>
        <n v="2964"/>
        <n v="1546"/>
        <n v="683"/>
        <n v="12389"/>
        <n v="4712"/>
        <n v="1553"/>
        <n v="1372"/>
        <n v="3979"/>
        <n v="6758"/>
        <n v="3234"/>
        <n v="5433"/>
        <n v="806"/>
        <n v="1082"/>
        <n v="2788"/>
        <n v="2930"/>
        <n v="1927"/>
        <n v="2820"/>
        <n v="937"/>
        <n v="1056"/>
        <n v="3124"/>
        <n v="1388"/>
        <n v="2384"/>
        <n v="2133"/>
        <n v="2799"/>
        <n v="1289"/>
        <n v="1217"/>
        <n v="2246"/>
        <n v="385"/>
        <n v="1965"/>
        <n v="1572"/>
        <n v="2718"/>
        <n v="1358"/>
        <n v="931"/>
        <n v="1442"/>
        <n v="4241"/>
        <n v="2775"/>
        <n v="3863"/>
        <n v="2329"/>
        <n v="918"/>
        <n v="1837"/>
        <n v="3349"/>
        <n v="2828"/>
        <n v="4526"/>
        <n v="2671"/>
        <n v="2051"/>
        <n v="1300"/>
        <n v="741"/>
        <n v="3357"/>
        <n v="3632"/>
        <n v="1808"/>
        <n v="12204"/>
        <n v="9157"/>
        <n v="3676"/>
        <n v="3441"/>
        <n v="640"/>
        <n v="3652"/>
        <n v="1530"/>
        <n v="3914"/>
        <n v="1858"/>
        <n v="2600"/>
        <n v="1979"/>
        <n v="2116"/>
        <n v="1437"/>
        <n v="4042"/>
        <n v="3660"/>
        <n v="1444"/>
        <n v="1980"/>
        <n v="1355"/>
        <n v="1376"/>
        <n v="15653"/>
        <n v="1493"/>
        <n v="4370"/>
        <n v="750"/>
        <n v="1308"/>
        <n v="4623"/>
        <n v="1851"/>
        <n v="1880"/>
        <n v="7980"/>
        <n v="4583"/>
        <n v="1386"/>
        <n v="947"/>
        <n v="684"/>
        <n v="7476"/>
        <n v="1922"/>
        <n v="2303"/>
        <n v="8086"/>
        <n v="2346"/>
        <n v="3973"/>
        <n v="888"/>
        <n v="10222"/>
        <n v="4221"/>
        <n v="6361"/>
        <n v="1297"/>
        <n v="900"/>
        <n v="1050"/>
        <n v="1047"/>
        <n v="6314"/>
        <n v="3496"/>
        <n v="3609"/>
        <n v="4843"/>
        <n v="4139"/>
        <n v="5742"/>
        <n v="10366"/>
        <n v="2080"/>
        <n v="2580"/>
        <n v="4530"/>
        <n v="5150"/>
        <n v="5595"/>
        <n v="1453"/>
        <n v="1538"/>
        <n v="2279"/>
        <n v="5103"/>
        <n v="9857"/>
        <n v="6527"/>
        <n v="1347"/>
        <n v="2862"/>
        <n v="2753"/>
        <n v="3651"/>
        <n v="975"/>
        <n v="2896"/>
        <n v="4716"/>
        <n v="2284"/>
        <n v="1103"/>
        <n v="926"/>
        <n v="1800"/>
        <n v="1905"/>
        <n v="1123"/>
        <n v="6331"/>
        <n v="1377"/>
        <n v="2503"/>
        <n v="2528"/>
        <n v="5324"/>
        <n v="6560"/>
        <n v="2969"/>
        <n v="1206"/>
        <n v="2118"/>
        <n v="629"/>
        <n v="1198"/>
        <n v="2476"/>
        <n v="1138"/>
        <n v="14027"/>
        <n v="7596"/>
        <n v="1505"/>
        <n v="3148"/>
        <n v="6148"/>
        <n v="1337"/>
        <n v="1228"/>
        <n v="790"/>
        <n v="2570"/>
        <n v="250"/>
        <n v="1316"/>
        <n v="1882"/>
        <n v="6416"/>
        <n v="6403"/>
        <n v="1987"/>
        <n v="760"/>
        <n v="2603"/>
        <n v="3380"/>
        <n v="3990"/>
        <n v="11560"/>
        <n v="4380"/>
        <n v="6761"/>
        <n v="4280"/>
        <n v="2325"/>
        <n v="1048"/>
        <n v="3160"/>
        <n v="2483"/>
        <n v="14179"/>
        <n v="1797"/>
        <n v="2511"/>
        <n v="1274"/>
        <n v="5248"/>
        <n v="3029"/>
        <n v="428"/>
        <n v="976"/>
        <n v="841"/>
        <n v="5771"/>
        <n v="1555"/>
        <n v="1285"/>
        <n v="1299"/>
        <n v="1271"/>
        <n v="691"/>
        <n v="5045"/>
        <n v="2124"/>
        <n v="2214"/>
        <n v="12680"/>
        <n v="2463"/>
        <n v="1155"/>
        <n v="3108"/>
        <n v="2901"/>
        <n v="1655"/>
        <n v="2812"/>
        <n v="8065"/>
        <n v="3275"/>
        <n v="2223"/>
        <n v="1480"/>
        <n v="1371"/>
        <n v="3535"/>
        <n v="3509"/>
        <n v="5711"/>
        <n v="3872"/>
        <n v="4933"/>
        <n v="1940"/>
        <n v="836"/>
        <n v="1941"/>
        <n v="2675"/>
        <n v="2751"/>
        <n v="6224"/>
        <n v="5998"/>
        <n v="1188"/>
        <n v="6313"/>
        <n v="1221"/>
        <n v="2892"/>
        <n v="3062"/>
        <n v="2301"/>
        <n v="7511"/>
        <n v="1549"/>
        <n v="1795"/>
        <n v="7472"/>
        <n v="9271"/>
        <n v="590"/>
        <n v="930"/>
        <n v="9283"/>
        <n v="1778"/>
        <n v="907"/>
        <n v="484"/>
        <n v="9629"/>
        <n v="3051"/>
        <n v="3931"/>
        <n v="7432"/>
        <n v="1338"/>
        <n v="1554"/>
        <n v="15857"/>
        <n v="1345"/>
        <n v="1101"/>
        <n v="3016"/>
        <n v="2712"/>
        <n v="731"/>
        <n v="3780"/>
        <n v="1602"/>
        <n v="3966"/>
        <n v="4165"/>
        <n v="8335"/>
        <n v="6681"/>
        <n v="2375"/>
        <n v="11816"/>
        <n v="5084"/>
        <n v="2327"/>
        <n v="886"/>
        <n v="601"/>
        <n v="2957"/>
        <n v="2611"/>
        <n v="5179"/>
        <n v="2993"/>
        <n v="1943"/>
        <n v="1559"/>
        <n v="3422"/>
        <n v="3976"/>
        <n v="1249"/>
        <n v="2235"/>
        <n v="1471"/>
        <n v="10875"/>
        <n v="894"/>
        <n v="3343"/>
        <n v="3959"/>
        <n v="3577"/>
        <n v="5804"/>
        <n v="2169"/>
        <n v="2439"/>
        <n v="2210"/>
        <n v="2221"/>
        <n v="2389"/>
        <n v="3331"/>
        <n v="7409"/>
        <n v="652"/>
        <n v="7678"/>
        <n v="1343"/>
        <n v="874"/>
        <n v="3590"/>
        <n v="1322"/>
        <n v="3595"/>
        <n v="1422"/>
        <n v="6742"/>
        <n v="7814"/>
        <n v="9277"/>
        <n v="2181"/>
        <n v="1098"/>
        <n v="4057"/>
        <n v="795"/>
        <n v="2825"/>
        <n v="15672"/>
        <n v="6614"/>
        <n v="7824"/>
        <n v="2442"/>
        <n v="1829"/>
        <n v="5800"/>
        <n v="8947"/>
        <n v="2606"/>
        <n v="1592"/>
        <n v="2186"/>
        <n v="4153"/>
        <n v="2625"/>
        <n v="3485"/>
        <n v="10477"/>
        <n v="1278"/>
        <n v="1107"/>
        <n v="3763"/>
        <n v="3711"/>
        <n v="3594"/>
        <n v="3195"/>
        <n v="4454"/>
        <n v="4736"/>
        <n v="2991"/>
        <n v="2142"/>
        <n v="3161"/>
        <n v="18424"/>
        <n v="2848"/>
        <n v="14896"/>
        <n v="2359"/>
        <n v="3345"/>
        <n v="1817"/>
        <n v="12749"/>
        <n v="1366"/>
        <n v="2002"/>
        <n v="6872"/>
        <n v="697"/>
        <n v="1049"/>
        <n v="10297"/>
        <n v="1867"/>
        <n v="1747"/>
        <n v="1670"/>
        <n v="1224"/>
        <n v="522"/>
        <n v="1498"/>
        <n v="745"/>
        <n v="2063"/>
        <n v="6288"/>
        <n v="6842"/>
        <n v="3527"/>
        <n v="929"/>
        <n v="1455"/>
        <n v="1845"/>
        <n v="8358"/>
        <n v="2859"/>
        <n v="3621"/>
        <n v="2145"/>
        <n v="4113"/>
        <n v="10974"/>
      </sharedItems>
      <fieldGroup base="7">
        <rangePr startNum="250" endNum="18424" groupInterval="2000"/>
        <groupItems count="12">
          <s v="&lt;250"/>
          <s v="250-2249"/>
          <s v="2250-4249"/>
          <s v="4250-6249"/>
          <s v="6250-8249"/>
          <s v="8250-10249"/>
          <s v="10250-12249"/>
          <s v="12250-14249"/>
          <s v="14250-16249"/>
          <s v="16250-18249"/>
          <s v="18250-20249"/>
          <s v="&gt;20250"/>
        </groupItems>
      </fieldGroup>
    </cacheField>
    <cacheField name="Exposure_Category" numFmtId="0">
      <sharedItems count="3">
        <s v="Low Exposure"/>
        <s v="High Exposure"/>
        <s v="Medium Exposure"/>
      </sharedItems>
    </cacheField>
    <cacheField name="Duration" numFmtId="0">
      <sharedItems containsSemiMixedTypes="0" containsString="0" containsNumber="1" containsInteger="1" minValue="4" maxValue="72" count="33">
        <n v="6"/>
        <n v="48"/>
        <n v="12"/>
        <n v="42"/>
        <n v="24"/>
        <n v="36"/>
        <n v="30"/>
        <n v="15"/>
        <n v="9"/>
        <n v="10"/>
        <n v="7"/>
        <n v="60"/>
        <n v="18"/>
        <n v="45"/>
        <n v="11"/>
        <n v="27"/>
        <n v="8"/>
        <n v="54"/>
        <n v="20"/>
        <n v="14"/>
        <n v="33"/>
        <n v="21"/>
        <n v="16"/>
        <n v="4"/>
        <n v="47"/>
        <n v="13"/>
        <n v="22"/>
        <n v="39"/>
        <n v="28"/>
        <n v="5"/>
        <n v="26"/>
        <n v="72"/>
        <n v="40"/>
      </sharedItems>
      <fieldGroup base="9">
        <rangePr autoStart="0" startNum="0" endNum="72" groupInterval="12"/>
        <groupItems count="8">
          <s v="&lt;0"/>
          <s v="0-11"/>
          <s v="12-23"/>
          <s v="24-35"/>
          <s v="36-47"/>
          <s v="48-59"/>
          <s v="60-72"/>
          <s v="&gt;72"/>
        </groupItems>
      </fieldGroup>
    </cacheField>
    <cacheField name="Purpose" numFmtId="0">
      <sharedItems count="8">
        <s v="Radio/Tv"/>
        <s v="Education"/>
        <s v="Furniture/Equipment"/>
        <s v="Car"/>
        <s v="Business"/>
        <s v="Domestic Appliances"/>
        <s v="Repairs"/>
        <s v="Vacation/Others"/>
      </sharedItems>
    </cacheField>
    <cacheField name="Credit Risk" numFmtId="0">
      <sharedItems containsSemiMixedTypes="0" containsString="0" containsNumber="1" containsInteger="1" minValue="1" maxValue="2" count="2">
        <n v="1"/>
        <n v="2"/>
      </sharedItems>
    </cacheField>
    <cacheField name="Risk_Label" numFmtId="0">
      <sharedItems count="2">
        <s v="Low Risk"/>
        <s v="High Risk"/>
      </sharedItems>
    </cacheField>
  </cacheFields>
  <extLst>
    <ext xmlns:x14="http://schemas.microsoft.com/office/spreadsheetml/2009/9/main" uri="{725AE2AE-9491-48be-B2B4-4EB974FC3084}">
      <x14:pivotCacheDefinition pivotCacheId="1860016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54">
  <r>
    <n v="67"/>
    <x v="0"/>
    <x v="0"/>
    <n v="2"/>
    <x v="0"/>
    <s v="No Account"/>
    <x v="0"/>
    <x v="0"/>
    <x v="0"/>
    <x v="0"/>
    <x v="0"/>
    <x v="0"/>
    <x v="0"/>
  </r>
  <r>
    <n v="22"/>
    <x v="1"/>
    <x v="1"/>
    <n v="2"/>
    <x v="0"/>
    <s v="Little"/>
    <x v="1"/>
    <x v="1"/>
    <x v="1"/>
    <x v="1"/>
    <x v="0"/>
    <x v="1"/>
    <x v="1"/>
  </r>
  <r>
    <n v="49"/>
    <x v="2"/>
    <x v="0"/>
    <n v="1"/>
    <x v="0"/>
    <s v="Little"/>
    <x v="2"/>
    <x v="2"/>
    <x v="2"/>
    <x v="2"/>
    <x v="1"/>
    <x v="0"/>
    <x v="0"/>
  </r>
  <r>
    <n v="45"/>
    <x v="2"/>
    <x v="0"/>
    <n v="2"/>
    <x v="1"/>
    <s v="Little"/>
    <x v="0"/>
    <x v="3"/>
    <x v="1"/>
    <x v="3"/>
    <x v="2"/>
    <x v="0"/>
    <x v="0"/>
  </r>
  <r>
    <n v="53"/>
    <x v="0"/>
    <x v="0"/>
    <n v="2"/>
    <x v="1"/>
    <s v="Little"/>
    <x v="0"/>
    <x v="4"/>
    <x v="2"/>
    <x v="4"/>
    <x v="3"/>
    <x v="1"/>
    <x v="1"/>
  </r>
  <r>
    <n v="35"/>
    <x v="2"/>
    <x v="0"/>
    <n v="1"/>
    <x v="1"/>
    <s v="No Account"/>
    <x v="2"/>
    <x v="5"/>
    <x v="1"/>
    <x v="5"/>
    <x v="1"/>
    <x v="0"/>
    <x v="0"/>
  </r>
  <r>
    <n v="53"/>
    <x v="0"/>
    <x v="0"/>
    <n v="2"/>
    <x v="0"/>
    <s v="Quite Rich"/>
    <x v="2"/>
    <x v="6"/>
    <x v="2"/>
    <x v="4"/>
    <x v="2"/>
    <x v="0"/>
    <x v="0"/>
  </r>
  <r>
    <n v="35"/>
    <x v="2"/>
    <x v="0"/>
    <n v="3"/>
    <x v="2"/>
    <s v="Little"/>
    <x v="1"/>
    <x v="7"/>
    <x v="1"/>
    <x v="5"/>
    <x v="3"/>
    <x v="0"/>
    <x v="0"/>
  </r>
  <r>
    <n v="61"/>
    <x v="0"/>
    <x v="0"/>
    <n v="1"/>
    <x v="0"/>
    <s v="Rich"/>
    <x v="2"/>
    <x v="8"/>
    <x v="2"/>
    <x v="2"/>
    <x v="0"/>
    <x v="0"/>
    <x v="0"/>
  </r>
  <r>
    <n v="28"/>
    <x v="1"/>
    <x v="0"/>
    <n v="3"/>
    <x v="0"/>
    <s v="Little"/>
    <x v="1"/>
    <x v="9"/>
    <x v="1"/>
    <x v="6"/>
    <x v="3"/>
    <x v="1"/>
    <x v="1"/>
  </r>
  <r>
    <n v="25"/>
    <x v="1"/>
    <x v="1"/>
    <n v="2"/>
    <x v="2"/>
    <s v="Little"/>
    <x v="1"/>
    <x v="10"/>
    <x v="0"/>
    <x v="2"/>
    <x v="3"/>
    <x v="1"/>
    <x v="1"/>
  </r>
  <r>
    <n v="24"/>
    <x v="1"/>
    <x v="1"/>
    <n v="2"/>
    <x v="2"/>
    <s v="Little"/>
    <x v="0"/>
    <x v="11"/>
    <x v="2"/>
    <x v="1"/>
    <x v="4"/>
    <x v="1"/>
    <x v="1"/>
  </r>
  <r>
    <n v="22"/>
    <x v="1"/>
    <x v="1"/>
    <n v="2"/>
    <x v="0"/>
    <s v="Little"/>
    <x v="1"/>
    <x v="12"/>
    <x v="0"/>
    <x v="2"/>
    <x v="0"/>
    <x v="0"/>
    <x v="0"/>
  </r>
  <r>
    <n v="60"/>
    <x v="0"/>
    <x v="0"/>
    <n v="1"/>
    <x v="0"/>
    <s v="Little"/>
    <x v="0"/>
    <x v="13"/>
    <x v="0"/>
    <x v="4"/>
    <x v="3"/>
    <x v="1"/>
    <x v="1"/>
  </r>
  <r>
    <n v="28"/>
    <x v="1"/>
    <x v="1"/>
    <n v="2"/>
    <x v="2"/>
    <s v="Little"/>
    <x v="0"/>
    <x v="14"/>
    <x v="0"/>
    <x v="7"/>
    <x v="3"/>
    <x v="0"/>
    <x v="0"/>
  </r>
  <r>
    <n v="32"/>
    <x v="2"/>
    <x v="1"/>
    <n v="1"/>
    <x v="0"/>
    <s v="Moderate"/>
    <x v="0"/>
    <x v="15"/>
    <x v="0"/>
    <x v="4"/>
    <x v="0"/>
    <x v="1"/>
    <x v="1"/>
  </r>
  <r>
    <n v="53"/>
    <x v="0"/>
    <x v="0"/>
    <n v="2"/>
    <x v="0"/>
    <s v="No Account"/>
    <x v="2"/>
    <x v="16"/>
    <x v="2"/>
    <x v="4"/>
    <x v="0"/>
    <x v="0"/>
    <x v="0"/>
  </r>
  <r>
    <n v="25"/>
    <x v="1"/>
    <x v="0"/>
    <n v="2"/>
    <x v="0"/>
    <s v="No Account"/>
    <x v="0"/>
    <x v="17"/>
    <x v="1"/>
    <x v="6"/>
    <x v="4"/>
    <x v="0"/>
    <x v="0"/>
  </r>
  <r>
    <n v="44"/>
    <x v="2"/>
    <x v="1"/>
    <n v="3"/>
    <x v="1"/>
    <s v="Little"/>
    <x v="1"/>
    <x v="18"/>
    <x v="1"/>
    <x v="4"/>
    <x v="3"/>
    <x v="1"/>
    <x v="1"/>
  </r>
  <r>
    <n v="31"/>
    <x v="2"/>
    <x v="0"/>
    <n v="2"/>
    <x v="0"/>
    <s v="Quite Rich"/>
    <x v="2"/>
    <x v="19"/>
    <x v="2"/>
    <x v="4"/>
    <x v="0"/>
    <x v="0"/>
    <x v="0"/>
  </r>
  <r>
    <n v="48"/>
    <x v="2"/>
    <x v="0"/>
    <n v="2"/>
    <x v="0"/>
    <s v="Little"/>
    <x v="2"/>
    <x v="20"/>
    <x v="2"/>
    <x v="8"/>
    <x v="3"/>
    <x v="0"/>
    <x v="0"/>
  </r>
  <r>
    <n v="44"/>
    <x v="2"/>
    <x v="0"/>
    <n v="2"/>
    <x v="2"/>
    <s v="Quite Rich"/>
    <x v="0"/>
    <x v="21"/>
    <x v="2"/>
    <x v="0"/>
    <x v="0"/>
    <x v="0"/>
    <x v="0"/>
  </r>
  <r>
    <n v="48"/>
    <x v="2"/>
    <x v="0"/>
    <n v="1"/>
    <x v="2"/>
    <s v="Little"/>
    <x v="0"/>
    <x v="22"/>
    <x v="2"/>
    <x v="9"/>
    <x v="3"/>
    <x v="0"/>
    <x v="0"/>
  </r>
  <r>
    <n v="44"/>
    <x v="2"/>
    <x v="0"/>
    <n v="2"/>
    <x v="0"/>
    <s v="Moderate"/>
    <x v="1"/>
    <x v="23"/>
    <x v="0"/>
    <x v="2"/>
    <x v="3"/>
    <x v="0"/>
    <x v="0"/>
  </r>
  <r>
    <n v="26"/>
    <x v="1"/>
    <x v="0"/>
    <n v="2"/>
    <x v="0"/>
    <s v="No Account"/>
    <x v="2"/>
    <x v="24"/>
    <x v="2"/>
    <x v="9"/>
    <x v="2"/>
    <x v="0"/>
    <x v="0"/>
  </r>
  <r>
    <n v="36"/>
    <x v="2"/>
    <x v="0"/>
    <n v="1"/>
    <x v="0"/>
    <s v="Little"/>
    <x v="0"/>
    <x v="25"/>
    <x v="0"/>
    <x v="0"/>
    <x v="2"/>
    <x v="0"/>
    <x v="0"/>
  </r>
  <r>
    <n v="39"/>
    <x v="2"/>
    <x v="0"/>
    <n v="1"/>
    <x v="0"/>
    <s v="Little"/>
    <x v="2"/>
    <x v="26"/>
    <x v="0"/>
    <x v="0"/>
    <x v="0"/>
    <x v="0"/>
    <x v="0"/>
  </r>
  <r>
    <n v="42"/>
    <x v="2"/>
    <x v="1"/>
    <n v="2"/>
    <x v="2"/>
    <s v="Rich"/>
    <x v="3"/>
    <x v="27"/>
    <x v="0"/>
    <x v="2"/>
    <x v="0"/>
    <x v="0"/>
    <x v="0"/>
  </r>
  <r>
    <n v="34"/>
    <x v="2"/>
    <x v="0"/>
    <n v="2"/>
    <x v="0"/>
    <s v="Little"/>
    <x v="1"/>
    <x v="28"/>
    <x v="2"/>
    <x v="10"/>
    <x v="0"/>
    <x v="0"/>
    <x v="0"/>
  </r>
  <r>
    <n v="63"/>
    <x v="0"/>
    <x v="0"/>
    <n v="2"/>
    <x v="0"/>
    <s v="Little"/>
    <x v="0"/>
    <x v="29"/>
    <x v="1"/>
    <x v="11"/>
    <x v="4"/>
    <x v="1"/>
    <x v="1"/>
  </r>
  <r>
    <n v="36"/>
    <x v="2"/>
    <x v="0"/>
    <n v="2"/>
    <x v="0"/>
    <s v="Rich"/>
    <x v="1"/>
    <x v="30"/>
    <x v="0"/>
    <x v="12"/>
    <x v="4"/>
    <x v="0"/>
    <x v="0"/>
  </r>
  <r>
    <n v="27"/>
    <x v="1"/>
    <x v="0"/>
    <n v="2"/>
    <x v="0"/>
    <s v="Little"/>
    <x v="0"/>
    <x v="31"/>
    <x v="2"/>
    <x v="4"/>
    <x v="2"/>
    <x v="0"/>
    <x v="0"/>
  </r>
  <r>
    <n v="30"/>
    <x v="2"/>
    <x v="0"/>
    <n v="2"/>
    <x v="0"/>
    <s v="Moderate"/>
    <x v="1"/>
    <x v="32"/>
    <x v="1"/>
    <x v="12"/>
    <x v="3"/>
    <x v="0"/>
    <x v="0"/>
  </r>
  <r>
    <n v="57"/>
    <x v="0"/>
    <x v="0"/>
    <n v="1"/>
    <x v="2"/>
    <s v="No Account"/>
    <x v="2"/>
    <x v="33"/>
    <x v="0"/>
    <x v="2"/>
    <x v="4"/>
    <x v="0"/>
    <x v="0"/>
  </r>
  <r>
    <n v="33"/>
    <x v="2"/>
    <x v="1"/>
    <n v="3"/>
    <x v="0"/>
    <s v="Little"/>
    <x v="3"/>
    <x v="34"/>
    <x v="0"/>
    <x v="2"/>
    <x v="2"/>
    <x v="0"/>
    <x v="0"/>
  </r>
  <r>
    <n v="25"/>
    <x v="1"/>
    <x v="0"/>
    <n v="1"/>
    <x v="0"/>
    <s v="Little"/>
    <x v="1"/>
    <x v="35"/>
    <x v="2"/>
    <x v="13"/>
    <x v="0"/>
    <x v="1"/>
    <x v="1"/>
  </r>
  <r>
    <n v="31"/>
    <x v="2"/>
    <x v="0"/>
    <n v="2"/>
    <x v="1"/>
    <s v="Little"/>
    <x v="2"/>
    <x v="36"/>
    <x v="1"/>
    <x v="1"/>
    <x v="1"/>
    <x v="0"/>
    <x v="0"/>
  </r>
  <r>
    <n v="37"/>
    <x v="2"/>
    <x v="0"/>
    <n v="2"/>
    <x v="0"/>
    <s v="Little"/>
    <x v="3"/>
    <x v="37"/>
    <x v="2"/>
    <x v="12"/>
    <x v="0"/>
    <x v="1"/>
    <x v="1"/>
  </r>
  <r>
    <n v="37"/>
    <x v="2"/>
    <x v="0"/>
    <n v="2"/>
    <x v="0"/>
    <s v="Little"/>
    <x v="3"/>
    <x v="38"/>
    <x v="0"/>
    <x v="9"/>
    <x v="5"/>
    <x v="0"/>
    <x v="0"/>
  </r>
  <r>
    <n v="24"/>
    <x v="1"/>
    <x v="0"/>
    <n v="2"/>
    <x v="0"/>
    <s v="Little"/>
    <x v="1"/>
    <x v="39"/>
    <x v="0"/>
    <x v="8"/>
    <x v="0"/>
    <x v="0"/>
    <x v="0"/>
  </r>
  <r>
    <n v="30"/>
    <x v="2"/>
    <x v="0"/>
    <n v="3"/>
    <x v="0"/>
    <s v="Quite Rich"/>
    <x v="2"/>
    <x v="40"/>
    <x v="2"/>
    <x v="6"/>
    <x v="0"/>
    <x v="0"/>
    <x v="0"/>
  </r>
  <r>
    <n v="26"/>
    <x v="1"/>
    <x v="0"/>
    <n v="2"/>
    <x v="0"/>
    <s v="Quite Rich"/>
    <x v="1"/>
    <x v="41"/>
    <x v="0"/>
    <x v="2"/>
    <x v="0"/>
    <x v="0"/>
    <x v="0"/>
  </r>
  <r>
    <n v="44"/>
    <x v="2"/>
    <x v="0"/>
    <n v="1"/>
    <x v="0"/>
    <s v="Little"/>
    <x v="1"/>
    <x v="42"/>
    <x v="1"/>
    <x v="12"/>
    <x v="6"/>
    <x v="0"/>
    <x v="0"/>
  </r>
  <r>
    <n v="24"/>
    <x v="1"/>
    <x v="0"/>
    <n v="2"/>
    <x v="2"/>
    <s v="Moderate"/>
    <x v="0"/>
    <x v="43"/>
    <x v="1"/>
    <x v="6"/>
    <x v="3"/>
    <x v="0"/>
    <x v="0"/>
  </r>
  <r>
    <n v="58"/>
    <x v="0"/>
    <x v="1"/>
    <n v="1"/>
    <x v="1"/>
    <s v="Little"/>
    <x v="0"/>
    <x v="44"/>
    <x v="1"/>
    <x v="1"/>
    <x v="3"/>
    <x v="1"/>
    <x v="1"/>
  </r>
  <r>
    <n v="35"/>
    <x v="2"/>
    <x v="1"/>
    <n v="3"/>
    <x v="0"/>
    <s v="Little"/>
    <x v="2"/>
    <x v="45"/>
    <x v="0"/>
    <x v="14"/>
    <x v="3"/>
    <x v="0"/>
    <x v="0"/>
  </r>
  <r>
    <n v="39"/>
    <x v="2"/>
    <x v="0"/>
    <n v="2"/>
    <x v="0"/>
    <s v="Quite Rich"/>
    <x v="2"/>
    <x v="46"/>
    <x v="2"/>
    <x v="5"/>
    <x v="0"/>
    <x v="0"/>
    <x v="0"/>
  </r>
  <r>
    <n v="23"/>
    <x v="1"/>
    <x v="1"/>
    <n v="0"/>
    <x v="2"/>
    <s v="Quite Rich"/>
    <x v="0"/>
    <x v="47"/>
    <x v="0"/>
    <x v="0"/>
    <x v="3"/>
    <x v="0"/>
    <x v="0"/>
  </r>
  <r>
    <n v="39"/>
    <x v="2"/>
    <x v="0"/>
    <n v="1"/>
    <x v="0"/>
    <s v="Little"/>
    <x v="2"/>
    <x v="48"/>
    <x v="1"/>
    <x v="14"/>
    <x v="3"/>
    <x v="0"/>
    <x v="0"/>
  </r>
  <r>
    <n v="28"/>
    <x v="1"/>
    <x v="1"/>
    <n v="2"/>
    <x v="0"/>
    <s v="Moderate"/>
    <x v="2"/>
    <x v="49"/>
    <x v="2"/>
    <x v="2"/>
    <x v="0"/>
    <x v="0"/>
    <x v="0"/>
  </r>
  <r>
    <n v="29"/>
    <x v="1"/>
    <x v="0"/>
    <n v="1"/>
    <x v="0"/>
    <s v="No Account"/>
    <x v="1"/>
    <x v="40"/>
    <x v="2"/>
    <x v="4"/>
    <x v="2"/>
    <x v="0"/>
    <x v="0"/>
  </r>
  <r>
    <n v="30"/>
    <x v="2"/>
    <x v="0"/>
    <n v="3"/>
    <x v="0"/>
    <s v="Little"/>
    <x v="1"/>
    <x v="50"/>
    <x v="1"/>
    <x v="15"/>
    <x v="3"/>
    <x v="0"/>
    <x v="0"/>
  </r>
  <r>
    <n v="25"/>
    <x v="1"/>
    <x v="0"/>
    <n v="2"/>
    <x v="0"/>
    <s v="Little"/>
    <x v="2"/>
    <x v="51"/>
    <x v="0"/>
    <x v="2"/>
    <x v="0"/>
    <x v="0"/>
    <x v="0"/>
  </r>
  <r>
    <n v="31"/>
    <x v="2"/>
    <x v="0"/>
    <n v="2"/>
    <x v="0"/>
    <s v="No Account"/>
    <x v="2"/>
    <x v="52"/>
    <x v="2"/>
    <x v="12"/>
    <x v="3"/>
    <x v="0"/>
    <x v="0"/>
  </r>
  <r>
    <n v="57"/>
    <x v="0"/>
    <x v="0"/>
    <n v="2"/>
    <x v="1"/>
    <s v="Little"/>
    <x v="1"/>
    <x v="53"/>
    <x v="2"/>
    <x v="5"/>
    <x v="3"/>
    <x v="1"/>
    <x v="1"/>
  </r>
  <r>
    <n v="26"/>
    <x v="1"/>
    <x v="0"/>
    <n v="1"/>
    <x v="0"/>
    <s v="No Account"/>
    <x v="2"/>
    <x v="54"/>
    <x v="0"/>
    <x v="0"/>
    <x v="3"/>
    <x v="0"/>
    <x v="0"/>
  </r>
  <r>
    <n v="52"/>
    <x v="0"/>
    <x v="0"/>
    <n v="3"/>
    <x v="0"/>
    <s v="No Account"/>
    <x v="1"/>
    <x v="55"/>
    <x v="1"/>
    <x v="2"/>
    <x v="0"/>
    <x v="1"/>
    <x v="1"/>
  </r>
  <r>
    <n v="31"/>
    <x v="2"/>
    <x v="1"/>
    <n v="2"/>
    <x v="0"/>
    <s v="Little"/>
    <x v="2"/>
    <x v="56"/>
    <x v="1"/>
    <x v="5"/>
    <x v="0"/>
    <x v="0"/>
    <x v="0"/>
  </r>
  <r>
    <n v="23"/>
    <x v="1"/>
    <x v="1"/>
    <n v="3"/>
    <x v="0"/>
    <s v="Little"/>
    <x v="3"/>
    <x v="57"/>
    <x v="0"/>
    <x v="12"/>
    <x v="3"/>
    <x v="0"/>
    <x v="0"/>
  </r>
  <r>
    <n v="23"/>
    <x v="1"/>
    <x v="1"/>
    <n v="1"/>
    <x v="2"/>
    <s v="Little"/>
    <x v="0"/>
    <x v="58"/>
    <x v="1"/>
    <x v="5"/>
    <x v="2"/>
    <x v="1"/>
    <x v="1"/>
  </r>
  <r>
    <n v="27"/>
    <x v="1"/>
    <x v="0"/>
    <n v="2"/>
    <x v="0"/>
    <s v="Little"/>
    <x v="1"/>
    <x v="59"/>
    <x v="0"/>
    <x v="8"/>
    <x v="4"/>
    <x v="0"/>
    <x v="0"/>
  </r>
  <r>
    <n v="50"/>
    <x v="0"/>
    <x v="0"/>
    <n v="2"/>
    <x v="0"/>
    <s v="No Account"/>
    <x v="1"/>
    <x v="60"/>
    <x v="0"/>
    <x v="7"/>
    <x v="0"/>
    <x v="0"/>
    <x v="0"/>
  </r>
  <r>
    <n v="61"/>
    <x v="0"/>
    <x v="0"/>
    <n v="3"/>
    <x v="1"/>
    <s v="Little"/>
    <x v="1"/>
    <x v="61"/>
    <x v="0"/>
    <x v="5"/>
    <x v="4"/>
    <x v="1"/>
    <x v="1"/>
  </r>
  <r>
    <n v="25"/>
    <x v="1"/>
    <x v="0"/>
    <n v="2"/>
    <x v="0"/>
    <s v="Little"/>
    <x v="1"/>
    <x v="62"/>
    <x v="1"/>
    <x v="1"/>
    <x v="4"/>
    <x v="1"/>
    <x v="1"/>
  </r>
  <r>
    <n v="26"/>
    <x v="1"/>
    <x v="1"/>
    <n v="2"/>
    <x v="0"/>
    <s v="Little"/>
    <x v="2"/>
    <x v="63"/>
    <x v="2"/>
    <x v="4"/>
    <x v="0"/>
    <x v="0"/>
    <x v="0"/>
  </r>
  <r>
    <n v="48"/>
    <x v="2"/>
    <x v="0"/>
    <n v="2"/>
    <x v="0"/>
    <s v="No Account"/>
    <x v="2"/>
    <x v="64"/>
    <x v="1"/>
    <x v="15"/>
    <x v="6"/>
    <x v="0"/>
    <x v="0"/>
  </r>
  <r>
    <n v="29"/>
    <x v="1"/>
    <x v="1"/>
    <n v="2"/>
    <x v="0"/>
    <s v="Little"/>
    <x v="2"/>
    <x v="65"/>
    <x v="2"/>
    <x v="2"/>
    <x v="0"/>
    <x v="0"/>
    <x v="0"/>
  </r>
  <r>
    <n v="22"/>
    <x v="1"/>
    <x v="0"/>
    <n v="2"/>
    <x v="0"/>
    <s v="Rich"/>
    <x v="1"/>
    <x v="66"/>
    <x v="0"/>
    <x v="2"/>
    <x v="3"/>
    <x v="0"/>
    <x v="0"/>
  </r>
  <r>
    <n v="37"/>
    <x v="2"/>
    <x v="0"/>
    <n v="2"/>
    <x v="1"/>
    <s v="Little"/>
    <x v="2"/>
    <x v="67"/>
    <x v="0"/>
    <x v="5"/>
    <x v="1"/>
    <x v="1"/>
    <x v="1"/>
  </r>
  <r>
    <n v="25"/>
    <x v="1"/>
    <x v="1"/>
    <n v="2"/>
    <x v="0"/>
    <s v="No Account"/>
    <x v="2"/>
    <x v="68"/>
    <x v="2"/>
    <x v="5"/>
    <x v="0"/>
    <x v="0"/>
    <x v="0"/>
  </r>
  <r>
    <n v="30"/>
    <x v="2"/>
    <x v="1"/>
    <n v="2"/>
    <x v="0"/>
    <s v="Little"/>
    <x v="2"/>
    <x v="69"/>
    <x v="1"/>
    <x v="5"/>
    <x v="3"/>
    <x v="0"/>
    <x v="0"/>
  </r>
  <r>
    <n v="46"/>
    <x v="2"/>
    <x v="0"/>
    <n v="1"/>
    <x v="2"/>
    <s v="No Account"/>
    <x v="2"/>
    <x v="70"/>
    <x v="0"/>
    <x v="10"/>
    <x v="0"/>
    <x v="0"/>
    <x v="0"/>
  </r>
  <r>
    <n v="51"/>
    <x v="0"/>
    <x v="0"/>
    <n v="3"/>
    <x v="1"/>
    <s v="Little"/>
    <x v="0"/>
    <x v="71"/>
    <x v="0"/>
    <x v="16"/>
    <x v="7"/>
    <x v="0"/>
    <x v="0"/>
  </r>
  <r>
    <n v="41"/>
    <x v="2"/>
    <x v="1"/>
    <n v="1"/>
    <x v="0"/>
    <s v="Little"/>
    <x v="1"/>
    <x v="72"/>
    <x v="1"/>
    <x v="3"/>
    <x v="4"/>
    <x v="0"/>
    <x v="0"/>
  </r>
  <r>
    <n v="40"/>
    <x v="2"/>
    <x v="0"/>
    <n v="3"/>
    <x v="0"/>
    <s v="No Account"/>
    <x v="0"/>
    <x v="73"/>
    <x v="0"/>
    <x v="5"/>
    <x v="1"/>
    <x v="1"/>
    <x v="1"/>
  </r>
  <r>
    <n v="66"/>
    <x v="0"/>
    <x v="0"/>
    <n v="3"/>
    <x v="1"/>
    <s v="Little"/>
    <x v="0"/>
    <x v="74"/>
    <x v="0"/>
    <x v="2"/>
    <x v="3"/>
    <x v="0"/>
    <x v="0"/>
  </r>
  <r>
    <n v="34"/>
    <x v="2"/>
    <x v="0"/>
    <n v="2"/>
    <x v="0"/>
    <s v="Little"/>
    <x v="0"/>
    <x v="75"/>
    <x v="2"/>
    <x v="3"/>
    <x v="0"/>
    <x v="1"/>
    <x v="1"/>
  </r>
  <r>
    <n v="51"/>
    <x v="0"/>
    <x v="0"/>
    <n v="2"/>
    <x v="0"/>
    <s v="Little"/>
    <x v="1"/>
    <x v="76"/>
    <x v="2"/>
    <x v="14"/>
    <x v="0"/>
    <x v="0"/>
    <x v="0"/>
  </r>
  <r>
    <n v="39"/>
    <x v="2"/>
    <x v="0"/>
    <n v="1"/>
    <x v="0"/>
    <s v="No Account"/>
    <x v="2"/>
    <x v="77"/>
    <x v="1"/>
    <x v="17"/>
    <x v="3"/>
    <x v="0"/>
    <x v="0"/>
  </r>
  <r>
    <n v="22"/>
    <x v="1"/>
    <x v="0"/>
    <n v="2"/>
    <x v="0"/>
    <s v="Little"/>
    <x v="1"/>
    <x v="78"/>
    <x v="2"/>
    <x v="6"/>
    <x v="2"/>
    <x v="0"/>
    <x v="0"/>
  </r>
  <r>
    <n v="44"/>
    <x v="2"/>
    <x v="1"/>
    <n v="2"/>
    <x v="0"/>
    <s v="No Account"/>
    <x v="2"/>
    <x v="79"/>
    <x v="1"/>
    <x v="4"/>
    <x v="0"/>
    <x v="1"/>
    <x v="1"/>
  </r>
  <r>
    <n v="47"/>
    <x v="2"/>
    <x v="0"/>
    <n v="2"/>
    <x v="0"/>
    <s v="Quite Rich"/>
    <x v="2"/>
    <x v="80"/>
    <x v="0"/>
    <x v="7"/>
    <x v="0"/>
    <x v="0"/>
    <x v="0"/>
  </r>
  <r>
    <n v="24"/>
    <x v="1"/>
    <x v="1"/>
    <n v="1"/>
    <x v="2"/>
    <s v="Moderate"/>
    <x v="2"/>
    <x v="81"/>
    <x v="0"/>
    <x v="12"/>
    <x v="4"/>
    <x v="0"/>
    <x v="0"/>
  </r>
  <r>
    <n v="58"/>
    <x v="0"/>
    <x v="1"/>
    <n v="1"/>
    <x v="0"/>
    <s v="Little"/>
    <x v="0"/>
    <x v="82"/>
    <x v="0"/>
    <x v="4"/>
    <x v="7"/>
    <x v="0"/>
    <x v="0"/>
  </r>
  <r>
    <n v="52"/>
    <x v="0"/>
    <x v="0"/>
    <n v="1"/>
    <x v="0"/>
    <s v="Little"/>
    <x v="0"/>
    <x v="83"/>
    <x v="2"/>
    <x v="9"/>
    <x v="0"/>
    <x v="0"/>
    <x v="0"/>
  </r>
  <r>
    <n v="29"/>
    <x v="1"/>
    <x v="1"/>
    <n v="3"/>
    <x v="0"/>
    <s v="Little"/>
    <x v="2"/>
    <x v="84"/>
    <x v="0"/>
    <x v="2"/>
    <x v="4"/>
    <x v="0"/>
    <x v="0"/>
  </r>
  <r>
    <n v="27"/>
    <x v="1"/>
    <x v="1"/>
    <n v="2"/>
    <x v="0"/>
    <s v="Little"/>
    <x v="1"/>
    <x v="10"/>
    <x v="0"/>
    <x v="12"/>
    <x v="2"/>
    <x v="0"/>
    <x v="0"/>
  </r>
  <r>
    <n v="47"/>
    <x v="2"/>
    <x v="0"/>
    <n v="2"/>
    <x v="1"/>
    <s v="Moderate"/>
    <x v="1"/>
    <x v="85"/>
    <x v="1"/>
    <x v="5"/>
    <x v="1"/>
    <x v="1"/>
    <x v="1"/>
  </r>
  <r>
    <n v="30"/>
    <x v="2"/>
    <x v="0"/>
    <n v="3"/>
    <x v="0"/>
    <s v="Moderate"/>
    <x v="0"/>
    <x v="86"/>
    <x v="2"/>
    <x v="12"/>
    <x v="3"/>
    <x v="0"/>
    <x v="0"/>
  </r>
  <r>
    <n v="28"/>
    <x v="1"/>
    <x v="0"/>
    <n v="2"/>
    <x v="0"/>
    <s v="Little"/>
    <x v="0"/>
    <x v="87"/>
    <x v="0"/>
    <x v="2"/>
    <x v="6"/>
    <x v="1"/>
    <x v="1"/>
  </r>
  <r>
    <n v="56"/>
    <x v="0"/>
    <x v="0"/>
    <n v="2"/>
    <x v="0"/>
    <s v="Little"/>
    <x v="2"/>
    <x v="88"/>
    <x v="0"/>
    <x v="2"/>
    <x v="0"/>
    <x v="0"/>
    <x v="0"/>
  </r>
  <r>
    <n v="54"/>
    <x v="0"/>
    <x v="0"/>
    <n v="2"/>
    <x v="0"/>
    <s v="Little"/>
    <x v="0"/>
    <x v="89"/>
    <x v="0"/>
    <x v="2"/>
    <x v="3"/>
    <x v="0"/>
    <x v="0"/>
  </r>
  <r>
    <n v="33"/>
    <x v="2"/>
    <x v="1"/>
    <n v="1"/>
    <x v="0"/>
    <s v="No Account"/>
    <x v="2"/>
    <x v="90"/>
    <x v="0"/>
    <x v="2"/>
    <x v="0"/>
    <x v="1"/>
    <x v="1"/>
  </r>
  <r>
    <n v="20"/>
    <x v="1"/>
    <x v="0"/>
    <n v="2"/>
    <x v="2"/>
    <s v="No Account"/>
    <x v="3"/>
    <x v="91"/>
    <x v="2"/>
    <x v="4"/>
    <x v="2"/>
    <x v="0"/>
    <x v="0"/>
  </r>
  <r>
    <n v="54"/>
    <x v="0"/>
    <x v="0"/>
    <n v="2"/>
    <x v="0"/>
    <s v="Rich"/>
    <x v="1"/>
    <x v="92"/>
    <x v="0"/>
    <x v="2"/>
    <x v="3"/>
    <x v="0"/>
    <x v="0"/>
  </r>
  <r>
    <n v="58"/>
    <x v="0"/>
    <x v="0"/>
    <n v="2"/>
    <x v="2"/>
    <s v="Little"/>
    <x v="1"/>
    <x v="93"/>
    <x v="1"/>
    <x v="17"/>
    <x v="4"/>
    <x v="1"/>
    <x v="1"/>
  </r>
  <r>
    <n v="61"/>
    <x v="0"/>
    <x v="1"/>
    <n v="2"/>
    <x v="0"/>
    <s v="No Account"/>
    <x v="2"/>
    <x v="94"/>
    <x v="2"/>
    <x v="2"/>
    <x v="1"/>
    <x v="0"/>
    <x v="0"/>
  </r>
  <r>
    <n v="34"/>
    <x v="2"/>
    <x v="0"/>
    <n v="2"/>
    <x v="0"/>
    <s v="Moderate"/>
    <x v="1"/>
    <x v="95"/>
    <x v="2"/>
    <x v="12"/>
    <x v="4"/>
    <x v="0"/>
    <x v="0"/>
  </r>
  <r>
    <n v="36"/>
    <x v="2"/>
    <x v="0"/>
    <n v="2"/>
    <x v="0"/>
    <s v="Little"/>
    <x v="1"/>
    <x v="96"/>
    <x v="2"/>
    <x v="5"/>
    <x v="0"/>
    <x v="0"/>
    <x v="0"/>
  </r>
  <r>
    <n v="36"/>
    <x v="2"/>
    <x v="0"/>
    <n v="3"/>
    <x v="2"/>
    <s v="No Account"/>
    <x v="1"/>
    <x v="97"/>
    <x v="1"/>
    <x v="18"/>
    <x v="3"/>
    <x v="0"/>
    <x v="0"/>
  </r>
  <r>
    <n v="41"/>
    <x v="2"/>
    <x v="0"/>
    <n v="1"/>
    <x v="2"/>
    <s v="Moderate"/>
    <x v="2"/>
    <x v="98"/>
    <x v="0"/>
    <x v="4"/>
    <x v="3"/>
    <x v="0"/>
    <x v="0"/>
  </r>
  <r>
    <n v="24"/>
    <x v="1"/>
    <x v="0"/>
    <n v="2"/>
    <x v="2"/>
    <s v="Little"/>
    <x v="1"/>
    <x v="99"/>
    <x v="2"/>
    <x v="5"/>
    <x v="0"/>
    <x v="0"/>
    <x v="0"/>
  </r>
  <r>
    <n v="24"/>
    <x v="1"/>
    <x v="1"/>
    <n v="2"/>
    <x v="0"/>
    <s v="Little"/>
    <x v="2"/>
    <x v="100"/>
    <x v="0"/>
    <x v="0"/>
    <x v="0"/>
    <x v="0"/>
    <x v="0"/>
  </r>
  <r>
    <n v="35"/>
    <x v="2"/>
    <x v="0"/>
    <n v="2"/>
    <x v="2"/>
    <s v="Little"/>
    <x v="1"/>
    <x v="101"/>
    <x v="0"/>
    <x v="8"/>
    <x v="2"/>
    <x v="0"/>
    <x v="0"/>
  </r>
  <r>
    <n v="26"/>
    <x v="1"/>
    <x v="0"/>
    <n v="2"/>
    <x v="2"/>
    <s v="No Account"/>
    <x v="2"/>
    <x v="102"/>
    <x v="2"/>
    <x v="2"/>
    <x v="3"/>
    <x v="0"/>
    <x v="0"/>
  </r>
  <r>
    <n v="39"/>
    <x v="2"/>
    <x v="0"/>
    <n v="3"/>
    <x v="0"/>
    <s v="Little"/>
    <x v="1"/>
    <x v="103"/>
    <x v="1"/>
    <x v="4"/>
    <x v="7"/>
    <x v="1"/>
    <x v="1"/>
  </r>
  <r>
    <n v="39"/>
    <x v="2"/>
    <x v="0"/>
    <n v="3"/>
    <x v="0"/>
    <s v="Little"/>
    <x v="2"/>
    <x v="104"/>
    <x v="1"/>
    <x v="12"/>
    <x v="3"/>
    <x v="1"/>
    <x v="1"/>
  </r>
  <r>
    <n v="32"/>
    <x v="2"/>
    <x v="0"/>
    <n v="2"/>
    <x v="0"/>
    <s v="Little"/>
    <x v="1"/>
    <x v="105"/>
    <x v="1"/>
    <x v="2"/>
    <x v="3"/>
    <x v="0"/>
    <x v="0"/>
  </r>
  <r>
    <n v="30"/>
    <x v="2"/>
    <x v="1"/>
    <n v="2"/>
    <x v="0"/>
    <s v="No Account"/>
    <x v="0"/>
    <x v="106"/>
    <x v="1"/>
    <x v="4"/>
    <x v="2"/>
    <x v="0"/>
    <x v="0"/>
  </r>
  <r>
    <n v="35"/>
    <x v="2"/>
    <x v="0"/>
    <n v="2"/>
    <x v="0"/>
    <s v="Quite Rich"/>
    <x v="1"/>
    <x v="107"/>
    <x v="0"/>
    <x v="19"/>
    <x v="4"/>
    <x v="0"/>
    <x v="0"/>
  </r>
  <r>
    <n v="31"/>
    <x v="2"/>
    <x v="0"/>
    <n v="2"/>
    <x v="0"/>
    <s v="Moderate"/>
    <x v="1"/>
    <x v="108"/>
    <x v="0"/>
    <x v="0"/>
    <x v="4"/>
    <x v="0"/>
    <x v="0"/>
  </r>
  <r>
    <n v="23"/>
    <x v="1"/>
    <x v="1"/>
    <n v="2"/>
    <x v="2"/>
    <s v="Little"/>
    <x v="3"/>
    <x v="109"/>
    <x v="0"/>
    <x v="7"/>
    <x v="1"/>
    <x v="0"/>
    <x v="0"/>
  </r>
  <r>
    <n v="28"/>
    <x v="1"/>
    <x v="0"/>
    <n v="1"/>
    <x v="2"/>
    <s v="Little"/>
    <x v="1"/>
    <x v="110"/>
    <x v="1"/>
    <x v="12"/>
    <x v="3"/>
    <x v="0"/>
    <x v="0"/>
  </r>
  <r>
    <n v="25"/>
    <x v="1"/>
    <x v="1"/>
    <n v="2"/>
    <x v="0"/>
    <s v="Little"/>
    <x v="2"/>
    <x v="111"/>
    <x v="1"/>
    <x v="5"/>
    <x v="3"/>
    <x v="1"/>
    <x v="1"/>
  </r>
  <r>
    <n v="35"/>
    <x v="2"/>
    <x v="0"/>
    <n v="2"/>
    <x v="0"/>
    <s v="Quite Rich"/>
    <x v="0"/>
    <x v="112"/>
    <x v="0"/>
    <x v="2"/>
    <x v="0"/>
    <x v="0"/>
    <x v="0"/>
  </r>
  <r>
    <n v="47"/>
    <x v="2"/>
    <x v="0"/>
    <n v="2"/>
    <x v="0"/>
    <s v="No Account"/>
    <x v="2"/>
    <x v="113"/>
    <x v="2"/>
    <x v="1"/>
    <x v="0"/>
    <x v="0"/>
    <x v="0"/>
  </r>
  <r>
    <n v="30"/>
    <x v="2"/>
    <x v="1"/>
    <n v="3"/>
    <x v="0"/>
    <s v="No Account"/>
    <x v="0"/>
    <x v="114"/>
    <x v="1"/>
    <x v="3"/>
    <x v="0"/>
    <x v="1"/>
    <x v="1"/>
  </r>
  <r>
    <n v="27"/>
    <x v="1"/>
    <x v="1"/>
    <n v="2"/>
    <x v="2"/>
    <s v="No Account"/>
    <x v="0"/>
    <x v="115"/>
    <x v="2"/>
    <x v="9"/>
    <x v="2"/>
    <x v="0"/>
    <x v="0"/>
  </r>
  <r>
    <n v="23"/>
    <x v="1"/>
    <x v="1"/>
    <n v="2"/>
    <x v="0"/>
    <s v="Quite Rich"/>
    <x v="0"/>
    <x v="116"/>
    <x v="2"/>
    <x v="20"/>
    <x v="2"/>
    <x v="1"/>
    <x v="1"/>
  </r>
  <r>
    <n v="36"/>
    <x v="2"/>
    <x v="0"/>
    <n v="3"/>
    <x v="0"/>
    <s v="Quite Rich"/>
    <x v="1"/>
    <x v="117"/>
    <x v="2"/>
    <x v="2"/>
    <x v="3"/>
    <x v="0"/>
    <x v="0"/>
  </r>
  <r>
    <n v="25"/>
    <x v="1"/>
    <x v="1"/>
    <n v="2"/>
    <x v="0"/>
    <s v="Little"/>
    <x v="0"/>
    <x v="118"/>
    <x v="0"/>
    <x v="21"/>
    <x v="0"/>
    <x v="1"/>
    <x v="1"/>
  </r>
  <r>
    <n v="41"/>
    <x v="2"/>
    <x v="1"/>
    <n v="3"/>
    <x v="2"/>
    <s v="Little"/>
    <x v="2"/>
    <x v="119"/>
    <x v="2"/>
    <x v="4"/>
    <x v="3"/>
    <x v="0"/>
    <x v="0"/>
  </r>
  <r>
    <n v="24"/>
    <x v="1"/>
    <x v="0"/>
    <n v="1"/>
    <x v="2"/>
    <s v="Little"/>
    <x v="2"/>
    <x v="120"/>
    <x v="0"/>
    <x v="2"/>
    <x v="2"/>
    <x v="0"/>
    <x v="0"/>
  </r>
  <r>
    <n v="63"/>
    <x v="0"/>
    <x v="0"/>
    <n v="2"/>
    <x v="1"/>
    <s v="Little"/>
    <x v="3"/>
    <x v="121"/>
    <x v="0"/>
    <x v="9"/>
    <x v="3"/>
    <x v="0"/>
    <x v="0"/>
  </r>
  <r>
    <n v="27"/>
    <x v="1"/>
    <x v="1"/>
    <n v="2"/>
    <x v="2"/>
    <s v="No Account"/>
    <x v="1"/>
    <x v="122"/>
    <x v="0"/>
    <x v="12"/>
    <x v="2"/>
    <x v="1"/>
    <x v="1"/>
  </r>
  <r>
    <n v="30"/>
    <x v="2"/>
    <x v="0"/>
    <n v="2"/>
    <x v="0"/>
    <s v="Little"/>
    <x v="0"/>
    <x v="123"/>
    <x v="2"/>
    <x v="2"/>
    <x v="3"/>
    <x v="0"/>
    <x v="0"/>
  </r>
  <r>
    <n v="40"/>
    <x v="2"/>
    <x v="0"/>
    <n v="1"/>
    <x v="0"/>
    <s v="Little"/>
    <x v="0"/>
    <x v="124"/>
    <x v="0"/>
    <x v="2"/>
    <x v="0"/>
    <x v="0"/>
    <x v="0"/>
  </r>
  <r>
    <n v="30"/>
    <x v="2"/>
    <x v="0"/>
    <n v="2"/>
    <x v="0"/>
    <s v="Little"/>
    <x v="1"/>
    <x v="125"/>
    <x v="0"/>
    <x v="2"/>
    <x v="6"/>
    <x v="1"/>
    <x v="1"/>
  </r>
  <r>
    <n v="34"/>
    <x v="2"/>
    <x v="0"/>
    <n v="3"/>
    <x v="0"/>
    <s v="Little"/>
    <x v="1"/>
    <x v="126"/>
    <x v="0"/>
    <x v="2"/>
    <x v="3"/>
    <x v="0"/>
    <x v="0"/>
  </r>
  <r>
    <n v="29"/>
    <x v="1"/>
    <x v="1"/>
    <n v="2"/>
    <x v="0"/>
    <s v="Little"/>
    <x v="0"/>
    <x v="127"/>
    <x v="2"/>
    <x v="2"/>
    <x v="3"/>
    <x v="1"/>
    <x v="1"/>
  </r>
  <r>
    <n v="24"/>
    <x v="1"/>
    <x v="1"/>
    <n v="2"/>
    <x v="0"/>
    <s v="No Account"/>
    <x v="1"/>
    <x v="128"/>
    <x v="1"/>
    <x v="1"/>
    <x v="3"/>
    <x v="0"/>
    <x v="0"/>
  </r>
  <r>
    <n v="29"/>
    <x v="1"/>
    <x v="0"/>
    <n v="2"/>
    <x v="0"/>
    <s v="Little"/>
    <x v="0"/>
    <x v="129"/>
    <x v="1"/>
    <x v="5"/>
    <x v="1"/>
    <x v="1"/>
    <x v="1"/>
  </r>
  <r>
    <n v="27"/>
    <x v="1"/>
    <x v="0"/>
    <n v="1"/>
    <x v="0"/>
    <s v="Little"/>
    <x v="2"/>
    <x v="130"/>
    <x v="2"/>
    <x v="7"/>
    <x v="2"/>
    <x v="0"/>
    <x v="0"/>
  </r>
  <r>
    <n v="47"/>
    <x v="2"/>
    <x v="0"/>
    <n v="2"/>
    <x v="1"/>
    <s v="Little"/>
    <x v="2"/>
    <x v="131"/>
    <x v="0"/>
    <x v="12"/>
    <x v="2"/>
    <x v="0"/>
    <x v="0"/>
  </r>
  <r>
    <n v="21"/>
    <x v="1"/>
    <x v="1"/>
    <n v="2"/>
    <x v="0"/>
    <s v="Moderate"/>
    <x v="2"/>
    <x v="132"/>
    <x v="1"/>
    <x v="11"/>
    <x v="0"/>
    <x v="0"/>
    <x v="0"/>
  </r>
  <r>
    <n v="38"/>
    <x v="2"/>
    <x v="1"/>
    <n v="2"/>
    <x v="0"/>
    <s v="No Account"/>
    <x v="2"/>
    <x v="133"/>
    <x v="0"/>
    <x v="2"/>
    <x v="0"/>
    <x v="0"/>
    <x v="0"/>
  </r>
  <r>
    <n v="27"/>
    <x v="1"/>
    <x v="0"/>
    <n v="2"/>
    <x v="0"/>
    <s v="Rich"/>
    <x v="2"/>
    <x v="134"/>
    <x v="1"/>
    <x v="15"/>
    <x v="3"/>
    <x v="0"/>
    <x v="0"/>
  </r>
  <r>
    <n v="66"/>
    <x v="0"/>
    <x v="0"/>
    <n v="1"/>
    <x v="0"/>
    <s v="Quite Rich"/>
    <x v="1"/>
    <x v="135"/>
    <x v="0"/>
    <x v="2"/>
    <x v="0"/>
    <x v="1"/>
    <x v="1"/>
  </r>
  <r>
    <n v="35"/>
    <x v="2"/>
    <x v="0"/>
    <n v="2"/>
    <x v="0"/>
    <s v="No Account"/>
    <x v="1"/>
    <x v="136"/>
    <x v="2"/>
    <x v="7"/>
    <x v="0"/>
    <x v="0"/>
    <x v="0"/>
  </r>
  <r>
    <n v="44"/>
    <x v="2"/>
    <x v="1"/>
    <n v="1"/>
    <x v="2"/>
    <s v="Little"/>
    <x v="3"/>
    <x v="137"/>
    <x v="0"/>
    <x v="2"/>
    <x v="0"/>
    <x v="0"/>
    <x v="0"/>
  </r>
  <r>
    <n v="27"/>
    <x v="1"/>
    <x v="0"/>
    <n v="0"/>
    <x v="0"/>
    <s v="Rich"/>
    <x v="3"/>
    <x v="138"/>
    <x v="0"/>
    <x v="0"/>
    <x v="3"/>
    <x v="0"/>
    <x v="0"/>
  </r>
  <r>
    <n v="30"/>
    <x v="2"/>
    <x v="1"/>
    <n v="3"/>
    <x v="0"/>
    <s v="Little"/>
    <x v="1"/>
    <x v="139"/>
    <x v="2"/>
    <x v="5"/>
    <x v="0"/>
    <x v="0"/>
    <x v="0"/>
  </r>
  <r>
    <n v="27"/>
    <x v="1"/>
    <x v="0"/>
    <n v="3"/>
    <x v="0"/>
    <s v="Little"/>
    <x v="0"/>
    <x v="140"/>
    <x v="2"/>
    <x v="15"/>
    <x v="0"/>
    <x v="0"/>
    <x v="0"/>
  </r>
  <r>
    <n v="22"/>
    <x v="1"/>
    <x v="0"/>
    <n v="2"/>
    <x v="0"/>
    <s v="Little"/>
    <x v="0"/>
    <x v="141"/>
    <x v="2"/>
    <x v="12"/>
    <x v="2"/>
    <x v="1"/>
    <x v="1"/>
  </r>
  <r>
    <n v="23"/>
    <x v="1"/>
    <x v="1"/>
    <n v="2"/>
    <x v="0"/>
    <s v="Little"/>
    <x v="2"/>
    <x v="142"/>
    <x v="2"/>
    <x v="21"/>
    <x v="2"/>
    <x v="0"/>
    <x v="0"/>
  </r>
  <r>
    <n v="30"/>
    <x v="2"/>
    <x v="0"/>
    <n v="2"/>
    <x v="0"/>
    <s v="Moderate"/>
    <x v="1"/>
    <x v="143"/>
    <x v="2"/>
    <x v="1"/>
    <x v="4"/>
    <x v="0"/>
    <x v="0"/>
  </r>
  <r>
    <n v="39"/>
    <x v="2"/>
    <x v="1"/>
    <n v="2"/>
    <x v="0"/>
    <s v="Little"/>
    <x v="0"/>
    <x v="144"/>
    <x v="0"/>
    <x v="0"/>
    <x v="3"/>
    <x v="0"/>
    <x v="0"/>
  </r>
  <r>
    <n v="51"/>
    <x v="0"/>
    <x v="1"/>
    <n v="2"/>
    <x v="0"/>
    <s v="Moderate"/>
    <x v="2"/>
    <x v="145"/>
    <x v="0"/>
    <x v="2"/>
    <x v="3"/>
    <x v="0"/>
    <x v="0"/>
  </r>
  <r>
    <n v="28"/>
    <x v="1"/>
    <x v="0"/>
    <n v="2"/>
    <x v="0"/>
    <s v="Little"/>
    <x v="0"/>
    <x v="146"/>
    <x v="1"/>
    <x v="5"/>
    <x v="2"/>
    <x v="0"/>
    <x v="0"/>
  </r>
  <r>
    <n v="46"/>
    <x v="2"/>
    <x v="0"/>
    <n v="2"/>
    <x v="0"/>
    <s v="Rich"/>
    <x v="2"/>
    <x v="147"/>
    <x v="0"/>
    <x v="12"/>
    <x v="0"/>
    <x v="0"/>
    <x v="0"/>
  </r>
  <r>
    <n v="42"/>
    <x v="2"/>
    <x v="0"/>
    <n v="2"/>
    <x v="1"/>
    <s v="Moderate"/>
    <x v="2"/>
    <x v="148"/>
    <x v="0"/>
    <x v="0"/>
    <x v="0"/>
    <x v="0"/>
    <x v="0"/>
  </r>
  <r>
    <n v="38"/>
    <x v="2"/>
    <x v="0"/>
    <n v="2"/>
    <x v="0"/>
    <s v="Little"/>
    <x v="2"/>
    <x v="122"/>
    <x v="0"/>
    <x v="9"/>
    <x v="0"/>
    <x v="0"/>
    <x v="0"/>
  </r>
  <r>
    <n v="24"/>
    <x v="1"/>
    <x v="0"/>
    <n v="2"/>
    <x v="0"/>
    <s v="Little"/>
    <x v="3"/>
    <x v="149"/>
    <x v="1"/>
    <x v="5"/>
    <x v="0"/>
    <x v="0"/>
    <x v="0"/>
  </r>
  <r>
    <n v="29"/>
    <x v="1"/>
    <x v="1"/>
    <n v="2"/>
    <x v="2"/>
    <s v="Rich"/>
    <x v="1"/>
    <x v="150"/>
    <x v="1"/>
    <x v="4"/>
    <x v="3"/>
    <x v="0"/>
    <x v="0"/>
  </r>
  <r>
    <n v="36"/>
    <x v="2"/>
    <x v="0"/>
    <n v="3"/>
    <x v="2"/>
    <s v="Moderate"/>
    <x v="1"/>
    <x v="151"/>
    <x v="1"/>
    <x v="4"/>
    <x v="4"/>
    <x v="0"/>
    <x v="0"/>
  </r>
  <r>
    <n v="20"/>
    <x v="1"/>
    <x v="1"/>
    <n v="2"/>
    <x v="2"/>
    <s v="Little"/>
    <x v="0"/>
    <x v="15"/>
    <x v="0"/>
    <x v="2"/>
    <x v="2"/>
    <x v="1"/>
    <x v="1"/>
  </r>
  <r>
    <n v="48"/>
    <x v="2"/>
    <x v="0"/>
    <n v="2"/>
    <x v="0"/>
    <s v="Moderate"/>
    <x v="0"/>
    <x v="152"/>
    <x v="0"/>
    <x v="8"/>
    <x v="6"/>
    <x v="0"/>
    <x v="0"/>
  </r>
  <r>
    <n v="45"/>
    <x v="2"/>
    <x v="0"/>
    <n v="1"/>
    <x v="0"/>
    <s v="Little"/>
    <x v="0"/>
    <x v="153"/>
    <x v="0"/>
    <x v="2"/>
    <x v="1"/>
    <x v="0"/>
    <x v="0"/>
  </r>
  <r>
    <n v="38"/>
    <x v="2"/>
    <x v="0"/>
    <n v="2"/>
    <x v="0"/>
    <s v="Moderate"/>
    <x v="1"/>
    <x v="154"/>
    <x v="2"/>
    <x v="4"/>
    <x v="3"/>
    <x v="0"/>
    <x v="0"/>
  </r>
  <r>
    <n v="34"/>
    <x v="2"/>
    <x v="0"/>
    <n v="1"/>
    <x v="0"/>
    <s v="No Account"/>
    <x v="2"/>
    <x v="155"/>
    <x v="0"/>
    <x v="0"/>
    <x v="0"/>
    <x v="0"/>
    <x v="0"/>
  </r>
  <r>
    <n v="36"/>
    <x v="2"/>
    <x v="0"/>
    <n v="2"/>
    <x v="0"/>
    <s v="Moderate"/>
    <x v="2"/>
    <x v="156"/>
    <x v="2"/>
    <x v="4"/>
    <x v="0"/>
    <x v="0"/>
    <x v="0"/>
  </r>
  <r>
    <n v="30"/>
    <x v="2"/>
    <x v="1"/>
    <n v="2"/>
    <x v="0"/>
    <s v="Little"/>
    <x v="2"/>
    <x v="157"/>
    <x v="0"/>
    <x v="12"/>
    <x v="3"/>
    <x v="0"/>
    <x v="0"/>
  </r>
  <r>
    <n v="36"/>
    <x v="2"/>
    <x v="0"/>
    <n v="2"/>
    <x v="0"/>
    <s v="Quite Rich"/>
    <x v="2"/>
    <x v="51"/>
    <x v="0"/>
    <x v="7"/>
    <x v="5"/>
    <x v="0"/>
    <x v="0"/>
  </r>
  <r>
    <n v="70"/>
    <x v="0"/>
    <x v="0"/>
    <n v="3"/>
    <x v="1"/>
    <s v="Little"/>
    <x v="1"/>
    <x v="158"/>
    <x v="1"/>
    <x v="9"/>
    <x v="3"/>
    <x v="0"/>
    <x v="0"/>
  </r>
  <r>
    <n v="36"/>
    <x v="2"/>
    <x v="0"/>
    <n v="2"/>
    <x v="0"/>
    <s v="Quite Rich"/>
    <x v="2"/>
    <x v="159"/>
    <x v="0"/>
    <x v="5"/>
    <x v="3"/>
    <x v="0"/>
    <x v="0"/>
  </r>
  <r>
    <n v="32"/>
    <x v="2"/>
    <x v="0"/>
    <n v="2"/>
    <x v="0"/>
    <s v="Quite Rich"/>
    <x v="2"/>
    <x v="160"/>
    <x v="2"/>
    <x v="0"/>
    <x v="2"/>
    <x v="0"/>
    <x v="0"/>
  </r>
  <r>
    <n v="33"/>
    <x v="2"/>
    <x v="1"/>
    <n v="2"/>
    <x v="0"/>
    <s v="Little"/>
    <x v="0"/>
    <x v="161"/>
    <x v="0"/>
    <x v="12"/>
    <x v="2"/>
    <x v="1"/>
    <x v="1"/>
  </r>
  <r>
    <n v="20"/>
    <x v="1"/>
    <x v="1"/>
    <n v="2"/>
    <x v="0"/>
    <s v="Rich"/>
    <x v="1"/>
    <x v="162"/>
    <x v="0"/>
    <x v="14"/>
    <x v="2"/>
    <x v="0"/>
    <x v="0"/>
  </r>
  <r>
    <n v="25"/>
    <x v="1"/>
    <x v="1"/>
    <n v="2"/>
    <x v="2"/>
    <s v="Little"/>
    <x v="2"/>
    <x v="163"/>
    <x v="2"/>
    <x v="4"/>
    <x v="2"/>
    <x v="0"/>
    <x v="0"/>
  </r>
  <r>
    <n v="31"/>
    <x v="2"/>
    <x v="0"/>
    <n v="2"/>
    <x v="0"/>
    <s v="Little"/>
    <x v="1"/>
    <x v="164"/>
    <x v="0"/>
    <x v="4"/>
    <x v="4"/>
    <x v="1"/>
    <x v="1"/>
  </r>
  <r>
    <n v="33"/>
    <x v="2"/>
    <x v="0"/>
    <n v="2"/>
    <x v="2"/>
    <s v="Little"/>
    <x v="0"/>
    <x v="165"/>
    <x v="0"/>
    <x v="7"/>
    <x v="3"/>
    <x v="1"/>
    <x v="1"/>
  </r>
  <r>
    <n v="26"/>
    <x v="1"/>
    <x v="1"/>
    <n v="2"/>
    <x v="0"/>
    <s v="Little"/>
    <x v="2"/>
    <x v="166"/>
    <x v="0"/>
    <x v="2"/>
    <x v="2"/>
    <x v="0"/>
    <x v="0"/>
  </r>
  <r>
    <n v="34"/>
    <x v="2"/>
    <x v="1"/>
    <n v="3"/>
    <x v="0"/>
    <s v="Little"/>
    <x v="1"/>
    <x v="167"/>
    <x v="2"/>
    <x v="4"/>
    <x v="2"/>
    <x v="1"/>
    <x v="1"/>
  </r>
  <r>
    <n v="33"/>
    <x v="2"/>
    <x v="0"/>
    <n v="2"/>
    <x v="0"/>
    <s v="Little"/>
    <x v="1"/>
    <x v="168"/>
    <x v="0"/>
    <x v="16"/>
    <x v="0"/>
    <x v="0"/>
    <x v="0"/>
  </r>
  <r>
    <n v="26"/>
    <x v="1"/>
    <x v="0"/>
    <n v="2"/>
    <x v="0"/>
    <s v="Little"/>
    <x v="0"/>
    <x v="169"/>
    <x v="2"/>
    <x v="21"/>
    <x v="1"/>
    <x v="1"/>
    <x v="1"/>
  </r>
  <r>
    <n v="53"/>
    <x v="0"/>
    <x v="1"/>
    <n v="3"/>
    <x v="0"/>
    <s v="No Account"/>
    <x v="2"/>
    <x v="170"/>
    <x v="1"/>
    <x v="6"/>
    <x v="3"/>
    <x v="1"/>
    <x v="1"/>
  </r>
  <r>
    <n v="42"/>
    <x v="2"/>
    <x v="0"/>
    <n v="2"/>
    <x v="0"/>
    <s v="Little"/>
    <x v="0"/>
    <x v="171"/>
    <x v="2"/>
    <x v="2"/>
    <x v="2"/>
    <x v="0"/>
    <x v="0"/>
  </r>
  <r>
    <n v="52"/>
    <x v="0"/>
    <x v="0"/>
    <n v="2"/>
    <x v="0"/>
    <s v="Quite Rich"/>
    <x v="0"/>
    <x v="172"/>
    <x v="0"/>
    <x v="0"/>
    <x v="0"/>
    <x v="0"/>
    <x v="0"/>
  </r>
  <r>
    <n v="31"/>
    <x v="2"/>
    <x v="0"/>
    <n v="3"/>
    <x v="2"/>
    <s v="Little"/>
    <x v="2"/>
    <x v="173"/>
    <x v="0"/>
    <x v="2"/>
    <x v="0"/>
    <x v="0"/>
    <x v="0"/>
  </r>
  <r>
    <n v="65"/>
    <x v="0"/>
    <x v="0"/>
    <n v="2"/>
    <x v="0"/>
    <s v="Little"/>
    <x v="0"/>
    <x v="174"/>
    <x v="0"/>
    <x v="21"/>
    <x v="3"/>
    <x v="0"/>
    <x v="0"/>
  </r>
  <r>
    <n v="28"/>
    <x v="1"/>
    <x v="0"/>
    <n v="2"/>
    <x v="0"/>
    <s v="Little"/>
    <x v="2"/>
    <x v="175"/>
    <x v="1"/>
    <x v="5"/>
    <x v="4"/>
    <x v="1"/>
    <x v="1"/>
  </r>
  <r>
    <n v="30"/>
    <x v="2"/>
    <x v="0"/>
    <n v="3"/>
    <x v="0"/>
    <s v="Little"/>
    <x v="1"/>
    <x v="176"/>
    <x v="2"/>
    <x v="5"/>
    <x v="4"/>
    <x v="1"/>
    <x v="1"/>
  </r>
  <r>
    <n v="40"/>
    <x v="2"/>
    <x v="0"/>
    <n v="1"/>
    <x v="0"/>
    <s v="No Account"/>
    <x v="0"/>
    <x v="177"/>
    <x v="0"/>
    <x v="21"/>
    <x v="3"/>
    <x v="1"/>
    <x v="1"/>
  </r>
  <r>
    <n v="50"/>
    <x v="0"/>
    <x v="0"/>
    <n v="2"/>
    <x v="0"/>
    <s v="Rich"/>
    <x v="2"/>
    <x v="178"/>
    <x v="2"/>
    <x v="4"/>
    <x v="2"/>
    <x v="0"/>
    <x v="0"/>
  </r>
  <r>
    <n v="36"/>
    <x v="2"/>
    <x v="0"/>
    <n v="2"/>
    <x v="0"/>
    <s v="Little"/>
    <x v="1"/>
    <x v="179"/>
    <x v="0"/>
    <x v="12"/>
    <x v="3"/>
    <x v="1"/>
    <x v="1"/>
  </r>
  <r>
    <n v="31"/>
    <x v="2"/>
    <x v="0"/>
    <n v="2"/>
    <x v="0"/>
    <s v="Little"/>
    <x v="2"/>
    <x v="180"/>
    <x v="0"/>
    <x v="7"/>
    <x v="0"/>
    <x v="0"/>
    <x v="0"/>
  </r>
  <r>
    <n v="74"/>
    <x v="0"/>
    <x v="1"/>
    <n v="3"/>
    <x v="1"/>
    <s v="Little"/>
    <x v="1"/>
    <x v="181"/>
    <x v="1"/>
    <x v="8"/>
    <x v="3"/>
    <x v="1"/>
    <x v="1"/>
  </r>
  <r>
    <n v="68"/>
    <x v="0"/>
    <x v="0"/>
    <n v="0"/>
    <x v="1"/>
    <s v="Little"/>
    <x v="1"/>
    <x v="182"/>
    <x v="0"/>
    <x v="22"/>
    <x v="3"/>
    <x v="0"/>
    <x v="0"/>
  </r>
  <r>
    <n v="20"/>
    <x v="1"/>
    <x v="0"/>
    <n v="2"/>
    <x v="0"/>
    <s v="Moderate"/>
    <x v="0"/>
    <x v="183"/>
    <x v="0"/>
    <x v="2"/>
    <x v="0"/>
    <x v="1"/>
    <x v="1"/>
  </r>
  <r>
    <n v="33"/>
    <x v="2"/>
    <x v="1"/>
    <n v="2"/>
    <x v="0"/>
    <s v="Little"/>
    <x v="1"/>
    <x v="184"/>
    <x v="2"/>
    <x v="12"/>
    <x v="2"/>
    <x v="0"/>
    <x v="0"/>
  </r>
  <r>
    <n v="54"/>
    <x v="0"/>
    <x v="0"/>
    <n v="3"/>
    <x v="0"/>
    <s v="Rich"/>
    <x v="2"/>
    <x v="185"/>
    <x v="2"/>
    <x v="4"/>
    <x v="4"/>
    <x v="1"/>
    <x v="1"/>
  </r>
  <r>
    <n v="34"/>
    <x v="2"/>
    <x v="0"/>
    <n v="1"/>
    <x v="1"/>
    <s v="Moderate"/>
    <x v="1"/>
    <x v="186"/>
    <x v="2"/>
    <x v="1"/>
    <x v="4"/>
    <x v="1"/>
    <x v="1"/>
  </r>
  <r>
    <n v="36"/>
    <x v="2"/>
    <x v="0"/>
    <n v="2"/>
    <x v="0"/>
    <s v="Little"/>
    <x v="1"/>
    <x v="187"/>
    <x v="2"/>
    <x v="15"/>
    <x v="4"/>
    <x v="1"/>
    <x v="1"/>
  </r>
  <r>
    <n v="29"/>
    <x v="1"/>
    <x v="0"/>
    <n v="2"/>
    <x v="2"/>
    <s v="Little"/>
    <x v="2"/>
    <x v="188"/>
    <x v="2"/>
    <x v="0"/>
    <x v="0"/>
    <x v="0"/>
    <x v="0"/>
  </r>
  <r>
    <n v="21"/>
    <x v="1"/>
    <x v="0"/>
    <n v="2"/>
    <x v="2"/>
    <s v="Moderate"/>
    <x v="1"/>
    <x v="189"/>
    <x v="2"/>
    <x v="13"/>
    <x v="0"/>
    <x v="1"/>
    <x v="1"/>
  </r>
  <r>
    <n v="34"/>
    <x v="2"/>
    <x v="1"/>
    <n v="3"/>
    <x v="0"/>
    <s v="Little"/>
    <x v="1"/>
    <x v="190"/>
    <x v="0"/>
    <x v="8"/>
    <x v="1"/>
    <x v="1"/>
    <x v="1"/>
  </r>
  <r>
    <n v="28"/>
    <x v="1"/>
    <x v="1"/>
    <n v="2"/>
    <x v="0"/>
    <s v="Little"/>
    <x v="2"/>
    <x v="191"/>
    <x v="0"/>
    <x v="0"/>
    <x v="0"/>
    <x v="0"/>
    <x v="0"/>
  </r>
  <r>
    <n v="27"/>
    <x v="1"/>
    <x v="1"/>
    <n v="2"/>
    <x v="2"/>
    <s v="Moderate"/>
    <x v="1"/>
    <x v="192"/>
    <x v="0"/>
    <x v="2"/>
    <x v="2"/>
    <x v="1"/>
    <x v="1"/>
  </r>
  <r>
    <n v="36"/>
    <x v="2"/>
    <x v="0"/>
    <n v="2"/>
    <x v="1"/>
    <s v="No Account"/>
    <x v="1"/>
    <x v="193"/>
    <x v="2"/>
    <x v="4"/>
    <x v="3"/>
    <x v="0"/>
    <x v="0"/>
  </r>
  <r>
    <n v="40"/>
    <x v="2"/>
    <x v="0"/>
    <n v="3"/>
    <x v="0"/>
    <s v="Little"/>
    <x v="1"/>
    <x v="194"/>
    <x v="2"/>
    <x v="12"/>
    <x v="2"/>
    <x v="1"/>
    <x v="1"/>
  </r>
  <r>
    <n v="52"/>
    <x v="0"/>
    <x v="0"/>
    <n v="2"/>
    <x v="0"/>
    <s v="Quite Rich"/>
    <x v="2"/>
    <x v="195"/>
    <x v="0"/>
    <x v="8"/>
    <x v="1"/>
    <x v="0"/>
    <x v="0"/>
  </r>
  <r>
    <n v="27"/>
    <x v="1"/>
    <x v="0"/>
    <n v="1"/>
    <x v="0"/>
    <s v="Little"/>
    <x v="0"/>
    <x v="196"/>
    <x v="0"/>
    <x v="2"/>
    <x v="3"/>
    <x v="0"/>
    <x v="0"/>
  </r>
  <r>
    <n v="26"/>
    <x v="1"/>
    <x v="0"/>
    <n v="2"/>
    <x v="0"/>
    <s v="Little"/>
    <x v="2"/>
    <x v="197"/>
    <x v="1"/>
    <x v="15"/>
    <x v="4"/>
    <x v="0"/>
    <x v="0"/>
  </r>
  <r>
    <n v="21"/>
    <x v="1"/>
    <x v="0"/>
    <n v="2"/>
    <x v="2"/>
    <s v="Little"/>
    <x v="0"/>
    <x v="198"/>
    <x v="0"/>
    <x v="2"/>
    <x v="1"/>
    <x v="1"/>
    <x v="1"/>
  </r>
  <r>
    <n v="38"/>
    <x v="2"/>
    <x v="0"/>
    <n v="1"/>
    <x v="0"/>
    <s v="Little"/>
    <x v="2"/>
    <x v="199"/>
    <x v="0"/>
    <x v="2"/>
    <x v="3"/>
    <x v="0"/>
    <x v="0"/>
  </r>
  <r>
    <n v="38"/>
    <x v="2"/>
    <x v="0"/>
    <n v="3"/>
    <x v="1"/>
    <s v="Little"/>
    <x v="0"/>
    <x v="200"/>
    <x v="1"/>
    <x v="6"/>
    <x v="3"/>
    <x v="0"/>
    <x v="0"/>
  </r>
  <r>
    <n v="43"/>
    <x v="2"/>
    <x v="0"/>
    <n v="2"/>
    <x v="0"/>
    <s v="Little"/>
    <x v="2"/>
    <x v="164"/>
    <x v="0"/>
    <x v="2"/>
    <x v="2"/>
    <x v="0"/>
    <x v="0"/>
  </r>
  <r>
    <n v="26"/>
    <x v="1"/>
    <x v="0"/>
    <n v="2"/>
    <x v="0"/>
    <s v="Little"/>
    <x v="1"/>
    <x v="201"/>
    <x v="0"/>
    <x v="2"/>
    <x v="5"/>
    <x v="0"/>
    <x v="0"/>
  </r>
  <r>
    <n v="21"/>
    <x v="1"/>
    <x v="0"/>
    <n v="1"/>
    <x v="0"/>
    <s v="Little"/>
    <x v="0"/>
    <x v="202"/>
    <x v="1"/>
    <x v="4"/>
    <x v="4"/>
    <x v="0"/>
    <x v="0"/>
  </r>
  <r>
    <n v="55"/>
    <x v="0"/>
    <x v="0"/>
    <n v="2"/>
    <x v="0"/>
    <s v="Rich"/>
    <x v="2"/>
    <x v="203"/>
    <x v="0"/>
    <x v="2"/>
    <x v="3"/>
    <x v="0"/>
    <x v="0"/>
  </r>
  <r>
    <n v="33"/>
    <x v="2"/>
    <x v="0"/>
    <n v="2"/>
    <x v="0"/>
    <s v="No Account"/>
    <x v="2"/>
    <x v="204"/>
    <x v="2"/>
    <x v="8"/>
    <x v="0"/>
    <x v="0"/>
    <x v="0"/>
  </r>
  <r>
    <n v="45"/>
    <x v="2"/>
    <x v="1"/>
    <n v="1"/>
    <x v="0"/>
    <s v="No Account"/>
    <x v="2"/>
    <x v="205"/>
    <x v="2"/>
    <x v="5"/>
    <x v="0"/>
    <x v="0"/>
    <x v="0"/>
  </r>
  <r>
    <n v="50"/>
    <x v="0"/>
    <x v="0"/>
    <n v="2"/>
    <x v="0"/>
    <s v="Little"/>
    <x v="0"/>
    <x v="206"/>
    <x v="1"/>
    <x v="15"/>
    <x v="4"/>
    <x v="1"/>
    <x v="1"/>
  </r>
  <r>
    <n v="66"/>
    <x v="0"/>
    <x v="0"/>
    <n v="3"/>
    <x v="0"/>
    <s v="Little"/>
    <x v="3"/>
    <x v="207"/>
    <x v="0"/>
    <x v="6"/>
    <x v="4"/>
    <x v="1"/>
    <x v="1"/>
  </r>
  <r>
    <n v="51"/>
    <x v="0"/>
    <x v="0"/>
    <n v="2"/>
    <x v="0"/>
    <s v="No Account"/>
    <x v="2"/>
    <x v="208"/>
    <x v="2"/>
    <x v="5"/>
    <x v="0"/>
    <x v="0"/>
    <x v="0"/>
  </r>
  <r>
    <n v="39"/>
    <x v="2"/>
    <x v="1"/>
    <n v="1"/>
    <x v="0"/>
    <s v="No Account"/>
    <x v="1"/>
    <x v="100"/>
    <x v="0"/>
    <x v="0"/>
    <x v="1"/>
    <x v="0"/>
    <x v="0"/>
  </r>
  <r>
    <n v="31"/>
    <x v="2"/>
    <x v="0"/>
    <n v="2"/>
    <x v="0"/>
    <s v="Little"/>
    <x v="0"/>
    <x v="209"/>
    <x v="2"/>
    <x v="12"/>
    <x v="4"/>
    <x v="0"/>
    <x v="0"/>
  </r>
  <r>
    <n v="23"/>
    <x v="1"/>
    <x v="0"/>
    <n v="2"/>
    <x v="0"/>
    <s v="Little"/>
    <x v="3"/>
    <x v="210"/>
    <x v="2"/>
    <x v="5"/>
    <x v="0"/>
    <x v="0"/>
    <x v="0"/>
  </r>
  <r>
    <n v="24"/>
    <x v="1"/>
    <x v="0"/>
    <n v="1"/>
    <x v="2"/>
    <s v="Little"/>
    <x v="0"/>
    <x v="211"/>
    <x v="2"/>
    <x v="4"/>
    <x v="2"/>
    <x v="0"/>
    <x v="0"/>
  </r>
  <r>
    <n v="64"/>
    <x v="0"/>
    <x v="1"/>
    <n v="2"/>
    <x v="0"/>
    <s v="Little"/>
    <x v="2"/>
    <x v="212"/>
    <x v="0"/>
    <x v="9"/>
    <x v="3"/>
    <x v="0"/>
    <x v="0"/>
  </r>
  <r>
    <n v="26"/>
    <x v="1"/>
    <x v="0"/>
    <n v="1"/>
    <x v="0"/>
    <s v="Little"/>
    <x v="1"/>
    <x v="213"/>
    <x v="0"/>
    <x v="2"/>
    <x v="0"/>
    <x v="0"/>
    <x v="0"/>
  </r>
  <r>
    <n v="23"/>
    <x v="1"/>
    <x v="1"/>
    <n v="2"/>
    <x v="2"/>
    <s v="No Account"/>
    <x v="0"/>
    <x v="214"/>
    <x v="0"/>
    <x v="2"/>
    <x v="1"/>
    <x v="0"/>
    <x v="0"/>
  </r>
  <r>
    <n v="30"/>
    <x v="2"/>
    <x v="0"/>
    <n v="2"/>
    <x v="0"/>
    <s v="Little"/>
    <x v="2"/>
    <x v="215"/>
    <x v="0"/>
    <x v="2"/>
    <x v="0"/>
    <x v="0"/>
    <x v="0"/>
  </r>
  <r>
    <n v="32"/>
    <x v="2"/>
    <x v="0"/>
    <n v="2"/>
    <x v="0"/>
    <s v="No Account"/>
    <x v="2"/>
    <x v="160"/>
    <x v="2"/>
    <x v="4"/>
    <x v="4"/>
    <x v="0"/>
    <x v="0"/>
  </r>
  <r>
    <n v="30"/>
    <x v="2"/>
    <x v="0"/>
    <n v="2"/>
    <x v="0"/>
    <s v="Little"/>
    <x v="2"/>
    <x v="216"/>
    <x v="2"/>
    <x v="7"/>
    <x v="3"/>
    <x v="0"/>
    <x v="0"/>
  </r>
  <r>
    <n v="27"/>
    <x v="1"/>
    <x v="0"/>
    <n v="2"/>
    <x v="0"/>
    <s v="Little"/>
    <x v="2"/>
    <x v="217"/>
    <x v="2"/>
    <x v="5"/>
    <x v="6"/>
    <x v="0"/>
    <x v="0"/>
  </r>
  <r>
    <n v="27"/>
    <x v="1"/>
    <x v="0"/>
    <n v="2"/>
    <x v="0"/>
    <s v="Rich"/>
    <x v="1"/>
    <x v="218"/>
    <x v="1"/>
    <x v="1"/>
    <x v="0"/>
    <x v="1"/>
    <x v="1"/>
  </r>
  <r>
    <n v="53"/>
    <x v="0"/>
    <x v="0"/>
    <n v="3"/>
    <x v="1"/>
    <s v="Little"/>
    <x v="0"/>
    <x v="219"/>
    <x v="1"/>
    <x v="2"/>
    <x v="2"/>
    <x v="1"/>
    <x v="1"/>
  </r>
  <r>
    <n v="22"/>
    <x v="1"/>
    <x v="0"/>
    <n v="2"/>
    <x v="0"/>
    <s v="Little"/>
    <x v="2"/>
    <x v="220"/>
    <x v="0"/>
    <x v="8"/>
    <x v="0"/>
    <x v="1"/>
    <x v="1"/>
  </r>
  <r>
    <n v="22"/>
    <x v="1"/>
    <x v="0"/>
    <n v="2"/>
    <x v="1"/>
    <s v="Little"/>
    <x v="0"/>
    <x v="221"/>
    <x v="2"/>
    <x v="4"/>
    <x v="2"/>
    <x v="0"/>
    <x v="0"/>
  </r>
  <r>
    <n v="26"/>
    <x v="1"/>
    <x v="0"/>
    <n v="2"/>
    <x v="0"/>
    <s v="Little"/>
    <x v="3"/>
    <x v="222"/>
    <x v="2"/>
    <x v="5"/>
    <x v="0"/>
    <x v="1"/>
    <x v="1"/>
  </r>
  <r>
    <n v="51"/>
    <x v="0"/>
    <x v="0"/>
    <n v="1"/>
    <x v="1"/>
    <s v="Quite Rich"/>
    <x v="2"/>
    <x v="223"/>
    <x v="2"/>
    <x v="8"/>
    <x v="3"/>
    <x v="0"/>
    <x v="0"/>
  </r>
  <r>
    <n v="35"/>
    <x v="2"/>
    <x v="0"/>
    <n v="2"/>
    <x v="0"/>
    <s v="Moderate"/>
    <x v="2"/>
    <x v="224"/>
    <x v="2"/>
    <x v="2"/>
    <x v="0"/>
    <x v="0"/>
    <x v="0"/>
  </r>
  <r>
    <n v="25"/>
    <x v="1"/>
    <x v="0"/>
    <n v="1"/>
    <x v="0"/>
    <s v="Little"/>
    <x v="1"/>
    <x v="225"/>
    <x v="0"/>
    <x v="12"/>
    <x v="0"/>
    <x v="0"/>
    <x v="0"/>
  </r>
  <r>
    <n v="42"/>
    <x v="2"/>
    <x v="0"/>
    <n v="1"/>
    <x v="0"/>
    <s v="Little"/>
    <x v="2"/>
    <x v="226"/>
    <x v="0"/>
    <x v="23"/>
    <x v="0"/>
    <x v="0"/>
    <x v="0"/>
  </r>
  <r>
    <n v="30"/>
    <x v="2"/>
    <x v="0"/>
    <n v="3"/>
    <x v="0"/>
    <s v="Little"/>
    <x v="0"/>
    <x v="227"/>
    <x v="0"/>
    <x v="4"/>
    <x v="0"/>
    <x v="1"/>
    <x v="1"/>
  </r>
  <r>
    <n v="23"/>
    <x v="1"/>
    <x v="0"/>
    <n v="0"/>
    <x v="0"/>
    <s v="No Account"/>
    <x v="1"/>
    <x v="228"/>
    <x v="1"/>
    <x v="0"/>
    <x v="3"/>
    <x v="1"/>
    <x v="1"/>
  </r>
  <r>
    <n v="61"/>
    <x v="0"/>
    <x v="0"/>
    <n v="1"/>
    <x v="2"/>
    <s v="Moderate"/>
    <x v="1"/>
    <x v="229"/>
    <x v="2"/>
    <x v="21"/>
    <x v="4"/>
    <x v="1"/>
    <x v="1"/>
  </r>
  <r>
    <n v="35"/>
    <x v="2"/>
    <x v="1"/>
    <n v="2"/>
    <x v="0"/>
    <s v="Little"/>
    <x v="2"/>
    <x v="230"/>
    <x v="0"/>
    <x v="2"/>
    <x v="0"/>
    <x v="0"/>
    <x v="0"/>
  </r>
  <r>
    <n v="39"/>
    <x v="2"/>
    <x v="0"/>
    <n v="2"/>
    <x v="0"/>
    <s v="Little"/>
    <x v="0"/>
    <x v="231"/>
    <x v="2"/>
    <x v="6"/>
    <x v="0"/>
    <x v="0"/>
    <x v="0"/>
  </r>
  <r>
    <n v="29"/>
    <x v="1"/>
    <x v="1"/>
    <n v="2"/>
    <x v="0"/>
    <s v="No Account"/>
    <x v="0"/>
    <x v="232"/>
    <x v="0"/>
    <x v="4"/>
    <x v="3"/>
    <x v="1"/>
    <x v="1"/>
  </r>
  <r>
    <n v="51"/>
    <x v="0"/>
    <x v="0"/>
    <n v="2"/>
    <x v="0"/>
    <s v="Little"/>
    <x v="2"/>
    <x v="233"/>
    <x v="0"/>
    <x v="0"/>
    <x v="0"/>
    <x v="0"/>
    <x v="0"/>
  </r>
  <r>
    <n v="24"/>
    <x v="1"/>
    <x v="0"/>
    <n v="2"/>
    <x v="1"/>
    <s v="Little"/>
    <x v="0"/>
    <x v="234"/>
    <x v="2"/>
    <x v="1"/>
    <x v="3"/>
    <x v="1"/>
    <x v="1"/>
  </r>
  <r>
    <n v="27"/>
    <x v="1"/>
    <x v="1"/>
    <n v="2"/>
    <x v="0"/>
    <s v="Little"/>
    <x v="2"/>
    <x v="235"/>
    <x v="0"/>
    <x v="2"/>
    <x v="4"/>
    <x v="0"/>
    <x v="0"/>
  </r>
  <r>
    <n v="35"/>
    <x v="2"/>
    <x v="1"/>
    <n v="1"/>
    <x v="0"/>
    <s v="Quite Rich"/>
    <x v="2"/>
    <x v="236"/>
    <x v="2"/>
    <x v="2"/>
    <x v="1"/>
    <x v="0"/>
    <x v="0"/>
  </r>
  <r>
    <n v="25"/>
    <x v="1"/>
    <x v="0"/>
    <n v="2"/>
    <x v="0"/>
    <s v="Little"/>
    <x v="2"/>
    <x v="237"/>
    <x v="0"/>
    <x v="4"/>
    <x v="4"/>
    <x v="0"/>
    <x v="0"/>
  </r>
  <r>
    <n v="52"/>
    <x v="0"/>
    <x v="0"/>
    <n v="2"/>
    <x v="0"/>
    <s v="Little"/>
    <x v="2"/>
    <x v="238"/>
    <x v="0"/>
    <x v="2"/>
    <x v="0"/>
    <x v="0"/>
    <x v="0"/>
  </r>
  <r>
    <n v="35"/>
    <x v="2"/>
    <x v="0"/>
    <n v="2"/>
    <x v="2"/>
    <s v="Moderate"/>
    <x v="2"/>
    <x v="239"/>
    <x v="0"/>
    <x v="0"/>
    <x v="3"/>
    <x v="0"/>
    <x v="0"/>
  </r>
  <r>
    <n v="26"/>
    <x v="1"/>
    <x v="0"/>
    <n v="2"/>
    <x v="0"/>
    <s v="Little"/>
    <x v="3"/>
    <x v="240"/>
    <x v="0"/>
    <x v="4"/>
    <x v="2"/>
    <x v="0"/>
    <x v="0"/>
  </r>
  <r>
    <n v="22"/>
    <x v="1"/>
    <x v="1"/>
    <n v="2"/>
    <x v="2"/>
    <s v="Little"/>
    <x v="2"/>
    <x v="241"/>
    <x v="0"/>
    <x v="12"/>
    <x v="0"/>
    <x v="1"/>
    <x v="1"/>
  </r>
  <r>
    <n v="39"/>
    <x v="2"/>
    <x v="1"/>
    <n v="1"/>
    <x v="0"/>
    <s v="Rich"/>
    <x v="0"/>
    <x v="242"/>
    <x v="0"/>
    <x v="0"/>
    <x v="3"/>
    <x v="0"/>
    <x v="0"/>
  </r>
  <r>
    <n v="46"/>
    <x v="2"/>
    <x v="1"/>
    <n v="1"/>
    <x v="0"/>
    <s v="Little"/>
    <x v="3"/>
    <x v="243"/>
    <x v="2"/>
    <x v="2"/>
    <x v="2"/>
    <x v="0"/>
    <x v="0"/>
  </r>
  <r>
    <n v="24"/>
    <x v="1"/>
    <x v="1"/>
    <n v="2"/>
    <x v="0"/>
    <s v="Little"/>
    <x v="1"/>
    <x v="244"/>
    <x v="2"/>
    <x v="6"/>
    <x v="3"/>
    <x v="1"/>
    <x v="1"/>
  </r>
  <r>
    <n v="35"/>
    <x v="2"/>
    <x v="0"/>
    <n v="2"/>
    <x v="0"/>
    <s v="Moderate"/>
    <x v="2"/>
    <x v="245"/>
    <x v="2"/>
    <x v="4"/>
    <x v="2"/>
    <x v="0"/>
    <x v="0"/>
  </r>
  <r>
    <n v="24"/>
    <x v="1"/>
    <x v="0"/>
    <n v="2"/>
    <x v="0"/>
    <s v="No Account"/>
    <x v="1"/>
    <x v="246"/>
    <x v="2"/>
    <x v="8"/>
    <x v="2"/>
    <x v="0"/>
    <x v="0"/>
  </r>
  <r>
    <n v="27"/>
    <x v="1"/>
    <x v="0"/>
    <n v="1"/>
    <x v="0"/>
    <s v="No Account"/>
    <x v="1"/>
    <x v="247"/>
    <x v="1"/>
    <x v="11"/>
    <x v="0"/>
    <x v="0"/>
    <x v="0"/>
  </r>
  <r>
    <n v="35"/>
    <x v="2"/>
    <x v="0"/>
    <n v="1"/>
    <x v="0"/>
    <s v="Little"/>
    <x v="2"/>
    <x v="248"/>
    <x v="2"/>
    <x v="4"/>
    <x v="0"/>
    <x v="0"/>
    <x v="0"/>
  </r>
  <r>
    <n v="29"/>
    <x v="1"/>
    <x v="0"/>
    <n v="2"/>
    <x v="1"/>
    <s v="Little"/>
    <x v="0"/>
    <x v="249"/>
    <x v="2"/>
    <x v="2"/>
    <x v="0"/>
    <x v="1"/>
    <x v="1"/>
  </r>
  <r>
    <n v="23"/>
    <x v="1"/>
    <x v="1"/>
    <n v="2"/>
    <x v="0"/>
    <s v="Moderate"/>
    <x v="2"/>
    <x v="250"/>
    <x v="2"/>
    <x v="7"/>
    <x v="3"/>
    <x v="0"/>
    <x v="0"/>
  </r>
  <r>
    <n v="57"/>
    <x v="0"/>
    <x v="1"/>
    <n v="1"/>
    <x v="0"/>
    <s v="Moderate"/>
    <x v="2"/>
    <x v="251"/>
    <x v="0"/>
    <x v="14"/>
    <x v="0"/>
    <x v="0"/>
    <x v="0"/>
  </r>
  <r>
    <n v="27"/>
    <x v="1"/>
    <x v="0"/>
    <n v="2"/>
    <x v="0"/>
    <s v="Little"/>
    <x v="0"/>
    <x v="252"/>
    <x v="0"/>
    <x v="2"/>
    <x v="2"/>
    <x v="0"/>
    <x v="0"/>
  </r>
  <r>
    <n v="55"/>
    <x v="0"/>
    <x v="1"/>
    <n v="2"/>
    <x v="0"/>
    <s v="Little"/>
    <x v="0"/>
    <x v="253"/>
    <x v="0"/>
    <x v="4"/>
    <x v="0"/>
    <x v="0"/>
    <x v="0"/>
  </r>
  <r>
    <n v="36"/>
    <x v="2"/>
    <x v="0"/>
    <n v="3"/>
    <x v="1"/>
    <s v="Little"/>
    <x v="0"/>
    <x v="254"/>
    <x v="1"/>
    <x v="12"/>
    <x v="3"/>
    <x v="0"/>
    <x v="0"/>
  </r>
  <r>
    <n v="57"/>
    <x v="0"/>
    <x v="1"/>
    <n v="1"/>
    <x v="1"/>
    <s v="Little"/>
    <x v="2"/>
    <x v="255"/>
    <x v="2"/>
    <x v="2"/>
    <x v="1"/>
    <x v="0"/>
    <x v="0"/>
  </r>
  <r>
    <n v="32"/>
    <x v="2"/>
    <x v="0"/>
    <n v="1"/>
    <x v="0"/>
    <s v="Little"/>
    <x v="2"/>
    <x v="256"/>
    <x v="0"/>
    <x v="9"/>
    <x v="3"/>
    <x v="0"/>
    <x v="0"/>
  </r>
  <r>
    <n v="37"/>
    <x v="2"/>
    <x v="0"/>
    <n v="2"/>
    <x v="0"/>
    <s v="Little"/>
    <x v="1"/>
    <x v="257"/>
    <x v="0"/>
    <x v="7"/>
    <x v="0"/>
    <x v="1"/>
    <x v="1"/>
  </r>
  <r>
    <n v="36"/>
    <x v="2"/>
    <x v="0"/>
    <n v="2"/>
    <x v="0"/>
    <s v="No Account"/>
    <x v="2"/>
    <x v="258"/>
    <x v="1"/>
    <x v="5"/>
    <x v="4"/>
    <x v="0"/>
    <x v="0"/>
  </r>
  <r>
    <n v="38"/>
    <x v="2"/>
    <x v="1"/>
    <n v="2"/>
    <x v="0"/>
    <s v="Little"/>
    <x v="2"/>
    <x v="259"/>
    <x v="0"/>
    <x v="4"/>
    <x v="0"/>
    <x v="0"/>
    <x v="0"/>
  </r>
  <r>
    <n v="45"/>
    <x v="2"/>
    <x v="0"/>
    <n v="3"/>
    <x v="0"/>
    <s v="Little"/>
    <x v="0"/>
    <x v="260"/>
    <x v="1"/>
    <x v="19"/>
    <x v="3"/>
    <x v="1"/>
    <x v="1"/>
  </r>
  <r>
    <n v="25"/>
    <x v="1"/>
    <x v="0"/>
    <n v="2"/>
    <x v="0"/>
    <s v="No Account"/>
    <x v="2"/>
    <x v="261"/>
    <x v="0"/>
    <x v="4"/>
    <x v="0"/>
    <x v="0"/>
    <x v="0"/>
  </r>
  <r>
    <n v="32"/>
    <x v="2"/>
    <x v="0"/>
    <n v="2"/>
    <x v="0"/>
    <s v="No Account"/>
    <x v="2"/>
    <x v="262"/>
    <x v="2"/>
    <x v="12"/>
    <x v="3"/>
    <x v="0"/>
    <x v="0"/>
  </r>
  <r>
    <n v="37"/>
    <x v="2"/>
    <x v="1"/>
    <n v="2"/>
    <x v="2"/>
    <s v="Quite Rich"/>
    <x v="2"/>
    <x v="263"/>
    <x v="0"/>
    <x v="2"/>
    <x v="2"/>
    <x v="0"/>
    <x v="0"/>
  </r>
  <r>
    <n v="36"/>
    <x v="2"/>
    <x v="0"/>
    <n v="3"/>
    <x v="1"/>
    <s v="No Account"/>
    <x v="1"/>
    <x v="264"/>
    <x v="1"/>
    <x v="1"/>
    <x v="3"/>
    <x v="0"/>
    <x v="0"/>
  </r>
  <r>
    <n v="28"/>
    <x v="1"/>
    <x v="0"/>
    <n v="2"/>
    <x v="0"/>
    <s v="Little"/>
    <x v="1"/>
    <x v="265"/>
    <x v="2"/>
    <x v="1"/>
    <x v="0"/>
    <x v="1"/>
    <x v="1"/>
  </r>
  <r>
    <n v="34"/>
    <x v="2"/>
    <x v="0"/>
    <n v="1"/>
    <x v="0"/>
    <s v="Little"/>
    <x v="0"/>
    <x v="266"/>
    <x v="1"/>
    <x v="6"/>
    <x v="6"/>
    <x v="1"/>
    <x v="1"/>
  </r>
  <r>
    <n v="32"/>
    <x v="2"/>
    <x v="0"/>
    <n v="2"/>
    <x v="0"/>
    <s v="Little"/>
    <x v="2"/>
    <x v="267"/>
    <x v="2"/>
    <x v="8"/>
    <x v="0"/>
    <x v="0"/>
    <x v="0"/>
  </r>
  <r>
    <n v="26"/>
    <x v="1"/>
    <x v="1"/>
    <n v="2"/>
    <x v="0"/>
    <s v="Little"/>
    <x v="2"/>
    <x v="268"/>
    <x v="2"/>
    <x v="12"/>
    <x v="0"/>
    <x v="0"/>
    <x v="0"/>
  </r>
  <r>
    <n v="49"/>
    <x v="2"/>
    <x v="0"/>
    <n v="1"/>
    <x v="0"/>
    <s v="No Account"/>
    <x v="0"/>
    <x v="51"/>
    <x v="0"/>
    <x v="2"/>
    <x v="2"/>
    <x v="0"/>
    <x v="0"/>
  </r>
  <r>
    <n v="32"/>
    <x v="2"/>
    <x v="1"/>
    <n v="2"/>
    <x v="0"/>
    <s v="Little"/>
    <x v="2"/>
    <x v="269"/>
    <x v="2"/>
    <x v="0"/>
    <x v="2"/>
    <x v="1"/>
    <x v="1"/>
  </r>
  <r>
    <n v="29"/>
    <x v="1"/>
    <x v="0"/>
    <n v="3"/>
    <x v="2"/>
    <s v="Moderate"/>
    <x v="2"/>
    <x v="270"/>
    <x v="0"/>
    <x v="4"/>
    <x v="0"/>
    <x v="0"/>
    <x v="0"/>
  </r>
  <r>
    <n v="23"/>
    <x v="1"/>
    <x v="0"/>
    <n v="2"/>
    <x v="2"/>
    <s v="Rich"/>
    <x v="2"/>
    <x v="271"/>
    <x v="2"/>
    <x v="7"/>
    <x v="3"/>
    <x v="0"/>
    <x v="0"/>
  </r>
  <r>
    <n v="50"/>
    <x v="0"/>
    <x v="0"/>
    <n v="2"/>
    <x v="0"/>
    <s v="Little"/>
    <x v="2"/>
    <x v="272"/>
    <x v="0"/>
    <x v="2"/>
    <x v="2"/>
    <x v="0"/>
    <x v="0"/>
  </r>
  <r>
    <n v="49"/>
    <x v="2"/>
    <x v="0"/>
    <n v="1"/>
    <x v="0"/>
    <s v="No Account"/>
    <x v="3"/>
    <x v="273"/>
    <x v="0"/>
    <x v="12"/>
    <x v="0"/>
    <x v="0"/>
    <x v="0"/>
  </r>
  <r>
    <n v="63"/>
    <x v="0"/>
    <x v="0"/>
    <n v="2"/>
    <x v="0"/>
    <s v="No Account"/>
    <x v="2"/>
    <x v="274"/>
    <x v="0"/>
    <x v="7"/>
    <x v="2"/>
    <x v="0"/>
    <x v="0"/>
  </r>
  <r>
    <n v="37"/>
    <x v="2"/>
    <x v="0"/>
    <n v="2"/>
    <x v="0"/>
    <s v="Moderate"/>
    <x v="1"/>
    <x v="275"/>
    <x v="2"/>
    <x v="4"/>
    <x v="3"/>
    <x v="0"/>
    <x v="0"/>
  </r>
  <r>
    <n v="35"/>
    <x v="2"/>
    <x v="1"/>
    <n v="1"/>
    <x v="0"/>
    <s v="Little"/>
    <x v="0"/>
    <x v="276"/>
    <x v="1"/>
    <x v="24"/>
    <x v="3"/>
    <x v="0"/>
    <x v="0"/>
  </r>
  <r>
    <n v="26"/>
    <x v="1"/>
    <x v="0"/>
    <n v="2"/>
    <x v="0"/>
    <s v="Little"/>
    <x v="0"/>
    <x v="277"/>
    <x v="2"/>
    <x v="1"/>
    <x v="3"/>
    <x v="0"/>
    <x v="0"/>
  </r>
  <r>
    <n v="31"/>
    <x v="2"/>
    <x v="0"/>
    <n v="3"/>
    <x v="1"/>
    <s v="Moderate"/>
    <x v="1"/>
    <x v="278"/>
    <x v="1"/>
    <x v="1"/>
    <x v="7"/>
    <x v="0"/>
    <x v="0"/>
  </r>
  <r>
    <n v="49"/>
    <x v="2"/>
    <x v="1"/>
    <n v="2"/>
    <x v="0"/>
    <s v="Little"/>
    <x v="1"/>
    <x v="279"/>
    <x v="0"/>
    <x v="2"/>
    <x v="0"/>
    <x v="0"/>
    <x v="0"/>
  </r>
  <r>
    <n v="48"/>
    <x v="2"/>
    <x v="0"/>
    <n v="2"/>
    <x v="0"/>
    <s v="Little"/>
    <x v="0"/>
    <x v="280"/>
    <x v="0"/>
    <x v="4"/>
    <x v="0"/>
    <x v="1"/>
    <x v="1"/>
  </r>
  <r>
    <n v="26"/>
    <x v="1"/>
    <x v="0"/>
    <n v="2"/>
    <x v="0"/>
    <s v="Little"/>
    <x v="2"/>
    <x v="281"/>
    <x v="0"/>
    <x v="2"/>
    <x v="4"/>
    <x v="0"/>
    <x v="0"/>
  </r>
  <r>
    <n v="28"/>
    <x v="1"/>
    <x v="0"/>
    <n v="3"/>
    <x v="2"/>
    <s v="Little"/>
    <x v="1"/>
    <x v="282"/>
    <x v="1"/>
    <x v="5"/>
    <x v="3"/>
    <x v="1"/>
    <x v="1"/>
  </r>
  <r>
    <n v="44"/>
    <x v="2"/>
    <x v="1"/>
    <n v="3"/>
    <x v="1"/>
    <s v="Little"/>
    <x v="0"/>
    <x v="283"/>
    <x v="1"/>
    <x v="4"/>
    <x v="3"/>
    <x v="0"/>
    <x v="0"/>
  </r>
  <r>
    <n v="56"/>
    <x v="0"/>
    <x v="0"/>
    <n v="2"/>
    <x v="1"/>
    <s v="Little"/>
    <x v="3"/>
    <x v="284"/>
    <x v="2"/>
    <x v="3"/>
    <x v="3"/>
    <x v="0"/>
    <x v="0"/>
  </r>
  <r>
    <n v="46"/>
    <x v="2"/>
    <x v="0"/>
    <n v="3"/>
    <x v="0"/>
    <s v="No Account"/>
    <x v="2"/>
    <x v="285"/>
    <x v="1"/>
    <x v="1"/>
    <x v="4"/>
    <x v="0"/>
    <x v="0"/>
  </r>
  <r>
    <n v="26"/>
    <x v="1"/>
    <x v="1"/>
    <n v="2"/>
    <x v="0"/>
    <s v="Little"/>
    <x v="1"/>
    <x v="286"/>
    <x v="1"/>
    <x v="1"/>
    <x v="2"/>
    <x v="1"/>
    <x v="1"/>
  </r>
  <r>
    <n v="20"/>
    <x v="1"/>
    <x v="1"/>
    <n v="2"/>
    <x v="2"/>
    <s v="No Account"/>
    <x v="2"/>
    <x v="287"/>
    <x v="2"/>
    <x v="2"/>
    <x v="3"/>
    <x v="0"/>
    <x v="0"/>
  </r>
  <r>
    <n v="45"/>
    <x v="2"/>
    <x v="0"/>
    <n v="1"/>
    <x v="0"/>
    <s v="No Account"/>
    <x v="2"/>
    <x v="288"/>
    <x v="0"/>
    <x v="9"/>
    <x v="3"/>
    <x v="0"/>
    <x v="0"/>
  </r>
  <r>
    <n v="43"/>
    <x v="2"/>
    <x v="0"/>
    <n v="2"/>
    <x v="0"/>
    <s v="Little"/>
    <x v="2"/>
    <x v="289"/>
    <x v="2"/>
    <x v="12"/>
    <x v="2"/>
    <x v="0"/>
    <x v="0"/>
  </r>
  <r>
    <n v="32"/>
    <x v="2"/>
    <x v="0"/>
    <n v="2"/>
    <x v="0"/>
    <s v="Rich"/>
    <x v="1"/>
    <x v="290"/>
    <x v="2"/>
    <x v="21"/>
    <x v="2"/>
    <x v="0"/>
    <x v="0"/>
  </r>
  <r>
    <n v="54"/>
    <x v="0"/>
    <x v="1"/>
    <n v="0"/>
    <x v="0"/>
    <s v="Little"/>
    <x v="2"/>
    <x v="291"/>
    <x v="0"/>
    <x v="0"/>
    <x v="3"/>
    <x v="0"/>
    <x v="0"/>
  </r>
  <r>
    <n v="42"/>
    <x v="2"/>
    <x v="1"/>
    <n v="2"/>
    <x v="0"/>
    <s v="Little"/>
    <x v="1"/>
    <x v="292"/>
    <x v="2"/>
    <x v="5"/>
    <x v="0"/>
    <x v="1"/>
    <x v="1"/>
  </r>
  <r>
    <n v="37"/>
    <x v="2"/>
    <x v="0"/>
    <n v="1"/>
    <x v="0"/>
    <s v="No Account"/>
    <x v="3"/>
    <x v="293"/>
    <x v="0"/>
    <x v="4"/>
    <x v="3"/>
    <x v="1"/>
    <x v="1"/>
  </r>
  <r>
    <n v="49"/>
    <x v="2"/>
    <x v="0"/>
    <n v="2"/>
    <x v="0"/>
    <s v="Little"/>
    <x v="0"/>
    <x v="294"/>
    <x v="0"/>
    <x v="9"/>
    <x v="3"/>
    <x v="0"/>
    <x v="0"/>
  </r>
  <r>
    <n v="44"/>
    <x v="2"/>
    <x v="0"/>
    <n v="2"/>
    <x v="1"/>
    <s v="Quite Rich"/>
    <x v="2"/>
    <x v="295"/>
    <x v="1"/>
    <x v="1"/>
    <x v="3"/>
    <x v="1"/>
    <x v="1"/>
  </r>
  <r>
    <n v="33"/>
    <x v="2"/>
    <x v="0"/>
    <n v="2"/>
    <x v="0"/>
    <s v="Rich"/>
    <x v="2"/>
    <x v="296"/>
    <x v="0"/>
    <x v="0"/>
    <x v="2"/>
    <x v="0"/>
    <x v="0"/>
  </r>
  <r>
    <n v="24"/>
    <x v="1"/>
    <x v="1"/>
    <n v="1"/>
    <x v="2"/>
    <s v="No Account"/>
    <x v="2"/>
    <x v="297"/>
    <x v="2"/>
    <x v="6"/>
    <x v="3"/>
    <x v="0"/>
    <x v="0"/>
  </r>
  <r>
    <n v="33"/>
    <x v="2"/>
    <x v="0"/>
    <n v="1"/>
    <x v="0"/>
    <s v="Moderate"/>
    <x v="0"/>
    <x v="298"/>
    <x v="0"/>
    <x v="2"/>
    <x v="0"/>
    <x v="1"/>
    <x v="1"/>
  </r>
  <r>
    <n v="24"/>
    <x v="1"/>
    <x v="1"/>
    <n v="2"/>
    <x v="0"/>
    <s v="Little"/>
    <x v="1"/>
    <x v="299"/>
    <x v="0"/>
    <x v="16"/>
    <x v="2"/>
    <x v="1"/>
    <x v="1"/>
  </r>
  <r>
    <n v="22"/>
    <x v="1"/>
    <x v="0"/>
    <n v="1"/>
    <x v="2"/>
    <s v="Little"/>
    <x v="1"/>
    <x v="300"/>
    <x v="0"/>
    <x v="8"/>
    <x v="3"/>
    <x v="0"/>
    <x v="0"/>
  </r>
  <r>
    <n v="40"/>
    <x v="2"/>
    <x v="0"/>
    <n v="0"/>
    <x v="1"/>
    <s v="No Account"/>
    <x v="1"/>
    <x v="301"/>
    <x v="1"/>
    <x v="1"/>
    <x v="7"/>
    <x v="0"/>
    <x v="0"/>
  </r>
  <r>
    <n v="25"/>
    <x v="1"/>
    <x v="0"/>
    <n v="2"/>
    <x v="0"/>
    <s v="Moderate"/>
    <x v="2"/>
    <x v="302"/>
    <x v="1"/>
    <x v="4"/>
    <x v="2"/>
    <x v="0"/>
    <x v="0"/>
  </r>
  <r>
    <n v="26"/>
    <x v="1"/>
    <x v="1"/>
    <n v="2"/>
    <x v="0"/>
    <s v="Little"/>
    <x v="3"/>
    <x v="303"/>
    <x v="2"/>
    <x v="4"/>
    <x v="2"/>
    <x v="0"/>
    <x v="0"/>
  </r>
  <r>
    <n v="25"/>
    <x v="1"/>
    <x v="0"/>
    <n v="1"/>
    <x v="0"/>
    <s v="Little"/>
    <x v="1"/>
    <x v="304"/>
    <x v="0"/>
    <x v="2"/>
    <x v="3"/>
    <x v="1"/>
    <x v="1"/>
  </r>
  <r>
    <n v="29"/>
    <x v="1"/>
    <x v="0"/>
    <n v="1"/>
    <x v="0"/>
    <s v="No Account"/>
    <x v="3"/>
    <x v="305"/>
    <x v="0"/>
    <x v="23"/>
    <x v="3"/>
    <x v="0"/>
    <x v="0"/>
  </r>
  <r>
    <n v="31"/>
    <x v="2"/>
    <x v="0"/>
    <n v="2"/>
    <x v="0"/>
    <s v="Little"/>
    <x v="0"/>
    <x v="306"/>
    <x v="2"/>
    <x v="5"/>
    <x v="2"/>
    <x v="1"/>
    <x v="1"/>
  </r>
  <r>
    <n v="38"/>
    <x v="2"/>
    <x v="0"/>
    <n v="1"/>
    <x v="0"/>
    <s v="Little"/>
    <x v="0"/>
    <x v="307"/>
    <x v="0"/>
    <x v="2"/>
    <x v="2"/>
    <x v="0"/>
    <x v="0"/>
  </r>
  <r>
    <n v="48"/>
    <x v="2"/>
    <x v="1"/>
    <n v="1"/>
    <x v="0"/>
    <s v="No Account"/>
    <x v="1"/>
    <x v="308"/>
    <x v="2"/>
    <x v="4"/>
    <x v="2"/>
    <x v="0"/>
    <x v="0"/>
  </r>
  <r>
    <n v="32"/>
    <x v="2"/>
    <x v="0"/>
    <n v="2"/>
    <x v="0"/>
    <s v="Little"/>
    <x v="2"/>
    <x v="124"/>
    <x v="0"/>
    <x v="2"/>
    <x v="1"/>
    <x v="0"/>
    <x v="0"/>
  </r>
  <r>
    <n v="27"/>
    <x v="1"/>
    <x v="1"/>
    <n v="1"/>
    <x v="0"/>
    <s v="Little"/>
    <x v="0"/>
    <x v="309"/>
    <x v="2"/>
    <x v="7"/>
    <x v="2"/>
    <x v="0"/>
    <x v="0"/>
  </r>
  <r>
    <n v="28"/>
    <x v="1"/>
    <x v="0"/>
    <n v="3"/>
    <x v="0"/>
    <s v="Little"/>
    <x v="1"/>
    <x v="310"/>
    <x v="2"/>
    <x v="6"/>
    <x v="3"/>
    <x v="1"/>
    <x v="1"/>
  </r>
  <r>
    <n v="32"/>
    <x v="2"/>
    <x v="0"/>
    <n v="2"/>
    <x v="0"/>
    <s v="Little"/>
    <x v="0"/>
    <x v="311"/>
    <x v="0"/>
    <x v="4"/>
    <x v="0"/>
    <x v="1"/>
    <x v="1"/>
  </r>
  <r>
    <n v="34"/>
    <x v="2"/>
    <x v="0"/>
    <n v="3"/>
    <x v="1"/>
    <s v="Little"/>
    <x v="0"/>
    <x v="312"/>
    <x v="2"/>
    <x v="4"/>
    <x v="3"/>
    <x v="0"/>
    <x v="0"/>
  </r>
  <r>
    <n v="28"/>
    <x v="1"/>
    <x v="0"/>
    <n v="2"/>
    <x v="0"/>
    <s v="Rich"/>
    <x v="0"/>
    <x v="313"/>
    <x v="2"/>
    <x v="12"/>
    <x v="2"/>
    <x v="0"/>
    <x v="0"/>
  </r>
  <r>
    <n v="36"/>
    <x v="2"/>
    <x v="1"/>
    <n v="2"/>
    <x v="0"/>
    <s v="Little"/>
    <x v="2"/>
    <x v="314"/>
    <x v="0"/>
    <x v="12"/>
    <x v="3"/>
    <x v="0"/>
    <x v="0"/>
  </r>
  <r>
    <n v="39"/>
    <x v="2"/>
    <x v="0"/>
    <n v="1"/>
    <x v="0"/>
    <s v="Little"/>
    <x v="0"/>
    <x v="315"/>
    <x v="2"/>
    <x v="16"/>
    <x v="3"/>
    <x v="0"/>
    <x v="0"/>
  </r>
  <r>
    <n v="49"/>
    <x v="2"/>
    <x v="0"/>
    <n v="2"/>
    <x v="2"/>
    <s v="No Account"/>
    <x v="2"/>
    <x v="316"/>
    <x v="1"/>
    <x v="2"/>
    <x v="2"/>
    <x v="0"/>
    <x v="0"/>
  </r>
  <r>
    <n v="34"/>
    <x v="2"/>
    <x v="1"/>
    <n v="2"/>
    <x v="0"/>
    <s v="Rich"/>
    <x v="2"/>
    <x v="317"/>
    <x v="0"/>
    <x v="4"/>
    <x v="3"/>
    <x v="0"/>
    <x v="0"/>
  </r>
  <r>
    <n v="31"/>
    <x v="2"/>
    <x v="0"/>
    <n v="2"/>
    <x v="0"/>
    <s v="Little"/>
    <x v="3"/>
    <x v="318"/>
    <x v="2"/>
    <x v="5"/>
    <x v="0"/>
    <x v="0"/>
    <x v="0"/>
  </r>
  <r>
    <n v="28"/>
    <x v="1"/>
    <x v="0"/>
    <n v="2"/>
    <x v="0"/>
    <s v="Little"/>
    <x v="1"/>
    <x v="319"/>
    <x v="0"/>
    <x v="0"/>
    <x v="0"/>
    <x v="0"/>
    <x v="0"/>
  </r>
  <r>
    <n v="75"/>
    <x v="0"/>
    <x v="0"/>
    <n v="3"/>
    <x v="1"/>
    <s v="Little"/>
    <x v="0"/>
    <x v="320"/>
    <x v="1"/>
    <x v="4"/>
    <x v="3"/>
    <x v="0"/>
    <x v="0"/>
  </r>
  <r>
    <n v="30"/>
    <x v="2"/>
    <x v="1"/>
    <n v="2"/>
    <x v="0"/>
    <s v="Moderate"/>
    <x v="2"/>
    <x v="321"/>
    <x v="0"/>
    <x v="12"/>
    <x v="1"/>
    <x v="1"/>
    <x v="1"/>
  </r>
  <r>
    <n v="24"/>
    <x v="1"/>
    <x v="1"/>
    <n v="3"/>
    <x v="0"/>
    <s v="Moderate"/>
    <x v="1"/>
    <x v="322"/>
    <x v="1"/>
    <x v="11"/>
    <x v="3"/>
    <x v="1"/>
    <x v="1"/>
  </r>
  <r>
    <n v="24"/>
    <x v="1"/>
    <x v="1"/>
    <n v="1"/>
    <x v="2"/>
    <s v="Moderate"/>
    <x v="2"/>
    <x v="323"/>
    <x v="1"/>
    <x v="1"/>
    <x v="3"/>
    <x v="1"/>
    <x v="1"/>
  </r>
  <r>
    <n v="23"/>
    <x v="1"/>
    <x v="0"/>
    <n v="2"/>
    <x v="2"/>
    <s v="Little"/>
    <x v="0"/>
    <x v="324"/>
    <x v="2"/>
    <x v="4"/>
    <x v="2"/>
    <x v="1"/>
    <x v="1"/>
  </r>
  <r>
    <n v="44"/>
    <x v="2"/>
    <x v="0"/>
    <n v="3"/>
    <x v="2"/>
    <s v="Little"/>
    <x v="0"/>
    <x v="325"/>
    <x v="2"/>
    <x v="0"/>
    <x v="2"/>
    <x v="1"/>
    <x v="1"/>
  </r>
  <r>
    <n v="23"/>
    <x v="1"/>
    <x v="1"/>
    <n v="1"/>
    <x v="0"/>
    <s v="Little"/>
    <x v="1"/>
    <x v="326"/>
    <x v="2"/>
    <x v="25"/>
    <x v="0"/>
    <x v="0"/>
    <x v="0"/>
  </r>
  <r>
    <n v="24"/>
    <x v="1"/>
    <x v="1"/>
    <n v="2"/>
    <x v="2"/>
    <s v="No Account"/>
    <x v="0"/>
    <x v="327"/>
    <x v="0"/>
    <x v="7"/>
    <x v="5"/>
    <x v="1"/>
    <x v="1"/>
  </r>
  <r>
    <n v="28"/>
    <x v="1"/>
    <x v="0"/>
    <n v="2"/>
    <x v="0"/>
    <s v="Little"/>
    <x v="0"/>
    <x v="328"/>
    <x v="2"/>
    <x v="4"/>
    <x v="2"/>
    <x v="0"/>
    <x v="0"/>
  </r>
  <r>
    <n v="31"/>
    <x v="2"/>
    <x v="0"/>
    <n v="1"/>
    <x v="0"/>
    <s v="Little"/>
    <x v="1"/>
    <x v="329"/>
    <x v="0"/>
    <x v="9"/>
    <x v="2"/>
    <x v="0"/>
    <x v="0"/>
  </r>
  <r>
    <n v="24"/>
    <x v="1"/>
    <x v="1"/>
    <n v="2"/>
    <x v="1"/>
    <s v="Little"/>
    <x v="1"/>
    <x v="330"/>
    <x v="1"/>
    <x v="4"/>
    <x v="1"/>
    <x v="0"/>
    <x v="0"/>
  </r>
  <r>
    <n v="26"/>
    <x v="1"/>
    <x v="1"/>
    <n v="1"/>
    <x v="2"/>
    <s v="Little"/>
    <x v="0"/>
    <x v="331"/>
    <x v="2"/>
    <x v="21"/>
    <x v="2"/>
    <x v="0"/>
    <x v="0"/>
  </r>
  <r>
    <n v="25"/>
    <x v="1"/>
    <x v="0"/>
    <n v="2"/>
    <x v="2"/>
    <s v="Quite Rich"/>
    <x v="1"/>
    <x v="332"/>
    <x v="2"/>
    <x v="12"/>
    <x v="0"/>
    <x v="0"/>
    <x v="0"/>
  </r>
  <r>
    <n v="33"/>
    <x v="2"/>
    <x v="0"/>
    <n v="3"/>
    <x v="0"/>
    <s v="Little"/>
    <x v="1"/>
    <x v="333"/>
    <x v="2"/>
    <x v="12"/>
    <x v="4"/>
    <x v="0"/>
    <x v="0"/>
  </r>
  <r>
    <n v="37"/>
    <x v="2"/>
    <x v="0"/>
    <n v="1"/>
    <x v="0"/>
    <s v="Little"/>
    <x v="3"/>
    <x v="334"/>
    <x v="2"/>
    <x v="9"/>
    <x v="3"/>
    <x v="0"/>
    <x v="0"/>
  </r>
  <r>
    <n v="43"/>
    <x v="2"/>
    <x v="1"/>
    <n v="1"/>
    <x v="0"/>
    <s v="Little"/>
    <x v="2"/>
    <x v="335"/>
    <x v="0"/>
    <x v="7"/>
    <x v="0"/>
    <x v="0"/>
    <x v="0"/>
  </r>
  <r>
    <n v="23"/>
    <x v="1"/>
    <x v="0"/>
    <n v="2"/>
    <x v="0"/>
    <s v="Little"/>
    <x v="1"/>
    <x v="336"/>
    <x v="0"/>
    <x v="25"/>
    <x v="0"/>
    <x v="0"/>
    <x v="0"/>
  </r>
  <r>
    <n v="23"/>
    <x v="1"/>
    <x v="1"/>
    <n v="0"/>
    <x v="2"/>
    <s v="Quite Rich"/>
    <x v="1"/>
    <x v="337"/>
    <x v="2"/>
    <x v="4"/>
    <x v="0"/>
    <x v="0"/>
    <x v="0"/>
  </r>
  <r>
    <n v="34"/>
    <x v="2"/>
    <x v="0"/>
    <n v="1"/>
    <x v="0"/>
    <s v="Moderate"/>
    <x v="2"/>
    <x v="338"/>
    <x v="0"/>
    <x v="0"/>
    <x v="4"/>
    <x v="0"/>
    <x v="0"/>
  </r>
  <r>
    <n v="32"/>
    <x v="2"/>
    <x v="0"/>
    <n v="2"/>
    <x v="1"/>
    <s v="Rich"/>
    <x v="1"/>
    <x v="339"/>
    <x v="0"/>
    <x v="8"/>
    <x v="1"/>
    <x v="1"/>
    <x v="1"/>
  </r>
  <r>
    <n v="23"/>
    <x v="1"/>
    <x v="1"/>
    <n v="2"/>
    <x v="2"/>
    <s v="Little"/>
    <x v="2"/>
    <x v="340"/>
    <x v="0"/>
    <x v="8"/>
    <x v="5"/>
    <x v="0"/>
    <x v="0"/>
  </r>
  <r>
    <n v="29"/>
    <x v="1"/>
    <x v="1"/>
    <n v="2"/>
    <x v="0"/>
    <s v="Little"/>
    <x v="1"/>
    <x v="341"/>
    <x v="0"/>
    <x v="8"/>
    <x v="2"/>
    <x v="1"/>
    <x v="1"/>
  </r>
  <r>
    <n v="38"/>
    <x v="2"/>
    <x v="0"/>
    <n v="3"/>
    <x v="0"/>
    <s v="No Account"/>
    <x v="2"/>
    <x v="342"/>
    <x v="2"/>
    <x v="12"/>
    <x v="3"/>
    <x v="0"/>
    <x v="0"/>
  </r>
  <r>
    <n v="28"/>
    <x v="1"/>
    <x v="0"/>
    <n v="2"/>
    <x v="2"/>
    <s v="Little"/>
    <x v="0"/>
    <x v="343"/>
    <x v="1"/>
    <x v="2"/>
    <x v="0"/>
    <x v="1"/>
    <x v="1"/>
  </r>
  <r>
    <n v="46"/>
    <x v="2"/>
    <x v="0"/>
    <n v="2"/>
    <x v="1"/>
    <s v="Quite Rich"/>
    <x v="2"/>
    <x v="298"/>
    <x v="0"/>
    <x v="9"/>
    <x v="1"/>
    <x v="0"/>
    <x v="0"/>
  </r>
  <r>
    <n v="23"/>
    <x v="1"/>
    <x v="0"/>
    <n v="1"/>
    <x v="0"/>
    <s v="Little"/>
    <x v="1"/>
    <x v="344"/>
    <x v="0"/>
    <x v="4"/>
    <x v="3"/>
    <x v="1"/>
    <x v="1"/>
  </r>
  <r>
    <n v="49"/>
    <x v="2"/>
    <x v="0"/>
    <n v="2"/>
    <x v="0"/>
    <s v="No Account"/>
    <x v="2"/>
    <x v="345"/>
    <x v="2"/>
    <x v="2"/>
    <x v="0"/>
    <x v="0"/>
    <x v="0"/>
  </r>
  <r>
    <n v="26"/>
    <x v="1"/>
    <x v="0"/>
    <n v="3"/>
    <x v="0"/>
    <s v="Little"/>
    <x v="2"/>
    <x v="346"/>
    <x v="2"/>
    <x v="5"/>
    <x v="0"/>
    <x v="1"/>
    <x v="1"/>
  </r>
  <r>
    <n v="28"/>
    <x v="1"/>
    <x v="0"/>
    <n v="2"/>
    <x v="0"/>
    <s v="Little"/>
    <x v="2"/>
    <x v="347"/>
    <x v="0"/>
    <x v="2"/>
    <x v="0"/>
    <x v="0"/>
    <x v="0"/>
  </r>
  <r>
    <n v="23"/>
    <x v="1"/>
    <x v="1"/>
    <n v="2"/>
    <x v="2"/>
    <s v="Little"/>
    <x v="0"/>
    <x v="348"/>
    <x v="2"/>
    <x v="6"/>
    <x v="2"/>
    <x v="1"/>
    <x v="1"/>
  </r>
  <r>
    <n v="61"/>
    <x v="0"/>
    <x v="0"/>
    <n v="2"/>
    <x v="1"/>
    <s v="No Account"/>
    <x v="1"/>
    <x v="349"/>
    <x v="0"/>
    <x v="12"/>
    <x v="1"/>
    <x v="0"/>
    <x v="0"/>
  </r>
  <r>
    <n v="37"/>
    <x v="2"/>
    <x v="0"/>
    <n v="3"/>
    <x v="0"/>
    <s v="No Account"/>
    <x v="3"/>
    <x v="350"/>
    <x v="2"/>
    <x v="2"/>
    <x v="0"/>
    <x v="0"/>
    <x v="0"/>
  </r>
  <r>
    <n v="36"/>
    <x v="2"/>
    <x v="1"/>
    <n v="2"/>
    <x v="0"/>
    <s v="Little"/>
    <x v="3"/>
    <x v="351"/>
    <x v="2"/>
    <x v="2"/>
    <x v="3"/>
    <x v="0"/>
    <x v="0"/>
  </r>
  <r>
    <n v="21"/>
    <x v="1"/>
    <x v="0"/>
    <n v="2"/>
    <x v="2"/>
    <s v="Little"/>
    <x v="2"/>
    <x v="352"/>
    <x v="0"/>
    <x v="0"/>
    <x v="2"/>
    <x v="0"/>
    <x v="0"/>
  </r>
  <r>
    <n v="25"/>
    <x v="1"/>
    <x v="0"/>
    <n v="0"/>
    <x v="0"/>
    <s v="Little"/>
    <x v="0"/>
    <x v="353"/>
    <x v="2"/>
    <x v="12"/>
    <x v="2"/>
    <x v="1"/>
    <x v="1"/>
  </r>
  <r>
    <n v="36"/>
    <x v="2"/>
    <x v="0"/>
    <n v="2"/>
    <x v="0"/>
    <s v="Little"/>
    <x v="2"/>
    <x v="354"/>
    <x v="0"/>
    <x v="2"/>
    <x v="4"/>
    <x v="0"/>
    <x v="0"/>
  </r>
  <r>
    <n v="27"/>
    <x v="1"/>
    <x v="0"/>
    <n v="2"/>
    <x v="0"/>
    <s v="Little"/>
    <x v="2"/>
    <x v="355"/>
    <x v="2"/>
    <x v="12"/>
    <x v="3"/>
    <x v="0"/>
    <x v="0"/>
  </r>
  <r>
    <n v="22"/>
    <x v="1"/>
    <x v="1"/>
    <n v="2"/>
    <x v="2"/>
    <s v="Little"/>
    <x v="0"/>
    <x v="356"/>
    <x v="2"/>
    <x v="12"/>
    <x v="2"/>
    <x v="0"/>
    <x v="0"/>
  </r>
  <r>
    <n v="42"/>
    <x v="2"/>
    <x v="0"/>
    <n v="2"/>
    <x v="0"/>
    <s v="Little"/>
    <x v="0"/>
    <x v="357"/>
    <x v="2"/>
    <x v="5"/>
    <x v="2"/>
    <x v="1"/>
    <x v="1"/>
  </r>
  <r>
    <n v="40"/>
    <x v="2"/>
    <x v="1"/>
    <n v="2"/>
    <x v="2"/>
    <s v="Little"/>
    <x v="1"/>
    <x v="358"/>
    <x v="2"/>
    <x v="12"/>
    <x v="2"/>
    <x v="0"/>
    <x v="0"/>
  </r>
  <r>
    <n v="36"/>
    <x v="2"/>
    <x v="0"/>
    <n v="2"/>
    <x v="0"/>
    <s v="No Account"/>
    <x v="2"/>
    <x v="359"/>
    <x v="2"/>
    <x v="5"/>
    <x v="3"/>
    <x v="0"/>
    <x v="0"/>
  </r>
  <r>
    <n v="33"/>
    <x v="2"/>
    <x v="0"/>
    <n v="2"/>
    <x v="0"/>
    <s v="Little"/>
    <x v="2"/>
    <x v="360"/>
    <x v="1"/>
    <x v="12"/>
    <x v="0"/>
    <x v="0"/>
    <x v="0"/>
  </r>
  <r>
    <n v="23"/>
    <x v="1"/>
    <x v="1"/>
    <n v="2"/>
    <x v="2"/>
    <s v="Little"/>
    <x v="2"/>
    <x v="361"/>
    <x v="2"/>
    <x v="9"/>
    <x v="2"/>
    <x v="0"/>
    <x v="0"/>
  </r>
  <r>
    <n v="63"/>
    <x v="0"/>
    <x v="0"/>
    <n v="3"/>
    <x v="1"/>
    <s v="No Account"/>
    <x v="2"/>
    <x v="362"/>
    <x v="1"/>
    <x v="11"/>
    <x v="3"/>
    <x v="0"/>
    <x v="0"/>
  </r>
  <r>
    <n v="60"/>
    <x v="0"/>
    <x v="1"/>
    <n v="3"/>
    <x v="1"/>
    <s v="Moderate"/>
    <x v="1"/>
    <x v="363"/>
    <x v="1"/>
    <x v="11"/>
    <x v="7"/>
    <x v="1"/>
    <x v="1"/>
  </r>
  <r>
    <n v="37"/>
    <x v="2"/>
    <x v="1"/>
    <n v="2"/>
    <x v="2"/>
    <s v="Little"/>
    <x v="0"/>
    <x v="364"/>
    <x v="1"/>
    <x v="1"/>
    <x v="4"/>
    <x v="1"/>
    <x v="1"/>
  </r>
  <r>
    <n v="34"/>
    <x v="2"/>
    <x v="0"/>
    <n v="2"/>
    <x v="0"/>
    <s v="Little"/>
    <x v="2"/>
    <x v="365"/>
    <x v="2"/>
    <x v="12"/>
    <x v="0"/>
    <x v="0"/>
    <x v="0"/>
  </r>
  <r>
    <n v="36"/>
    <x v="2"/>
    <x v="0"/>
    <n v="2"/>
    <x v="1"/>
    <s v="No Account"/>
    <x v="2"/>
    <x v="366"/>
    <x v="0"/>
    <x v="10"/>
    <x v="0"/>
    <x v="0"/>
    <x v="0"/>
  </r>
  <r>
    <n v="57"/>
    <x v="0"/>
    <x v="0"/>
    <n v="3"/>
    <x v="1"/>
    <s v="Little"/>
    <x v="1"/>
    <x v="367"/>
    <x v="1"/>
    <x v="5"/>
    <x v="3"/>
    <x v="1"/>
    <x v="1"/>
  </r>
  <r>
    <n v="52"/>
    <x v="0"/>
    <x v="1"/>
    <n v="1"/>
    <x v="0"/>
    <s v="Moderate"/>
    <x v="2"/>
    <x v="368"/>
    <x v="0"/>
    <x v="0"/>
    <x v="3"/>
    <x v="0"/>
    <x v="0"/>
  </r>
  <r>
    <n v="39"/>
    <x v="2"/>
    <x v="0"/>
    <n v="2"/>
    <x v="0"/>
    <s v="No Account"/>
    <x v="0"/>
    <x v="369"/>
    <x v="2"/>
    <x v="18"/>
    <x v="2"/>
    <x v="0"/>
    <x v="0"/>
  </r>
  <r>
    <n v="38"/>
    <x v="2"/>
    <x v="1"/>
    <n v="3"/>
    <x v="1"/>
    <s v="Little"/>
    <x v="1"/>
    <x v="370"/>
    <x v="1"/>
    <x v="12"/>
    <x v="3"/>
    <x v="1"/>
    <x v="1"/>
  </r>
  <r>
    <n v="25"/>
    <x v="1"/>
    <x v="1"/>
    <n v="2"/>
    <x v="2"/>
    <s v="No Account"/>
    <x v="2"/>
    <x v="371"/>
    <x v="0"/>
    <x v="26"/>
    <x v="3"/>
    <x v="0"/>
    <x v="0"/>
  </r>
  <r>
    <n v="26"/>
    <x v="1"/>
    <x v="0"/>
    <n v="2"/>
    <x v="0"/>
    <s v="Little"/>
    <x v="3"/>
    <x v="372"/>
    <x v="0"/>
    <x v="2"/>
    <x v="3"/>
    <x v="0"/>
    <x v="0"/>
  </r>
  <r>
    <n v="26"/>
    <x v="1"/>
    <x v="0"/>
    <n v="1"/>
    <x v="0"/>
    <s v="Moderate"/>
    <x v="2"/>
    <x v="373"/>
    <x v="2"/>
    <x v="6"/>
    <x v="4"/>
    <x v="0"/>
    <x v="0"/>
  </r>
  <r>
    <n v="25"/>
    <x v="1"/>
    <x v="1"/>
    <n v="2"/>
    <x v="0"/>
    <s v="Little"/>
    <x v="2"/>
    <x v="374"/>
    <x v="2"/>
    <x v="12"/>
    <x v="0"/>
    <x v="0"/>
    <x v="0"/>
  </r>
  <r>
    <n v="21"/>
    <x v="1"/>
    <x v="1"/>
    <n v="2"/>
    <x v="2"/>
    <s v="No Account"/>
    <x v="2"/>
    <x v="375"/>
    <x v="0"/>
    <x v="12"/>
    <x v="0"/>
    <x v="0"/>
    <x v="0"/>
  </r>
  <r>
    <n v="40"/>
    <x v="2"/>
    <x v="0"/>
    <n v="3"/>
    <x v="0"/>
    <s v="Little"/>
    <x v="1"/>
    <x v="376"/>
    <x v="1"/>
    <x v="12"/>
    <x v="2"/>
    <x v="0"/>
    <x v="0"/>
  </r>
  <r>
    <n v="27"/>
    <x v="1"/>
    <x v="0"/>
    <n v="2"/>
    <x v="0"/>
    <s v="Quite Rich"/>
    <x v="1"/>
    <x v="377"/>
    <x v="2"/>
    <x v="7"/>
    <x v="4"/>
    <x v="0"/>
    <x v="0"/>
  </r>
  <r>
    <n v="27"/>
    <x v="1"/>
    <x v="1"/>
    <n v="2"/>
    <x v="0"/>
    <s v="Little"/>
    <x v="2"/>
    <x v="108"/>
    <x v="0"/>
    <x v="8"/>
    <x v="4"/>
    <x v="0"/>
    <x v="0"/>
  </r>
  <r>
    <n v="30"/>
    <x v="2"/>
    <x v="0"/>
    <n v="3"/>
    <x v="0"/>
    <s v="Little"/>
    <x v="2"/>
    <x v="378"/>
    <x v="0"/>
    <x v="12"/>
    <x v="3"/>
    <x v="0"/>
    <x v="0"/>
  </r>
  <r>
    <n v="19"/>
    <x v="1"/>
    <x v="1"/>
    <n v="1"/>
    <x v="2"/>
    <s v="Rich"/>
    <x v="1"/>
    <x v="379"/>
    <x v="0"/>
    <x v="2"/>
    <x v="2"/>
    <x v="0"/>
    <x v="0"/>
  </r>
  <r>
    <n v="39"/>
    <x v="2"/>
    <x v="0"/>
    <n v="3"/>
    <x v="1"/>
    <s v="Little"/>
    <x v="0"/>
    <x v="380"/>
    <x v="2"/>
    <x v="5"/>
    <x v="3"/>
    <x v="0"/>
    <x v="0"/>
  </r>
  <r>
    <n v="31"/>
    <x v="2"/>
    <x v="1"/>
    <n v="2"/>
    <x v="0"/>
    <s v="Little"/>
    <x v="0"/>
    <x v="381"/>
    <x v="0"/>
    <x v="0"/>
    <x v="0"/>
    <x v="0"/>
    <x v="0"/>
  </r>
  <r>
    <n v="31"/>
    <x v="2"/>
    <x v="0"/>
    <n v="3"/>
    <x v="0"/>
    <s v="Little"/>
    <x v="2"/>
    <x v="348"/>
    <x v="2"/>
    <x v="8"/>
    <x v="2"/>
    <x v="0"/>
    <x v="0"/>
  </r>
  <r>
    <n v="32"/>
    <x v="2"/>
    <x v="0"/>
    <n v="2"/>
    <x v="2"/>
    <s v="Moderate"/>
    <x v="1"/>
    <x v="382"/>
    <x v="1"/>
    <x v="27"/>
    <x v="1"/>
    <x v="0"/>
    <x v="0"/>
  </r>
  <r>
    <n v="55"/>
    <x v="0"/>
    <x v="1"/>
    <n v="3"/>
    <x v="1"/>
    <s v="Little"/>
    <x v="0"/>
    <x v="383"/>
    <x v="2"/>
    <x v="2"/>
    <x v="2"/>
    <x v="0"/>
    <x v="0"/>
  </r>
  <r>
    <n v="46"/>
    <x v="2"/>
    <x v="0"/>
    <n v="2"/>
    <x v="0"/>
    <s v="Little"/>
    <x v="0"/>
    <x v="384"/>
    <x v="2"/>
    <x v="5"/>
    <x v="2"/>
    <x v="0"/>
    <x v="0"/>
  </r>
  <r>
    <n v="46"/>
    <x v="2"/>
    <x v="0"/>
    <n v="2"/>
    <x v="2"/>
    <s v="Little"/>
    <x v="1"/>
    <x v="385"/>
    <x v="0"/>
    <x v="2"/>
    <x v="3"/>
    <x v="1"/>
    <x v="1"/>
  </r>
  <r>
    <n v="43"/>
    <x v="2"/>
    <x v="1"/>
    <n v="1"/>
    <x v="0"/>
    <s v="Rich"/>
    <x v="2"/>
    <x v="386"/>
    <x v="0"/>
    <x v="4"/>
    <x v="0"/>
    <x v="0"/>
    <x v="0"/>
  </r>
  <r>
    <n v="39"/>
    <x v="2"/>
    <x v="0"/>
    <n v="2"/>
    <x v="0"/>
    <s v="Little"/>
    <x v="2"/>
    <x v="387"/>
    <x v="0"/>
    <x v="12"/>
    <x v="0"/>
    <x v="0"/>
    <x v="0"/>
  </r>
  <r>
    <n v="28"/>
    <x v="1"/>
    <x v="0"/>
    <n v="2"/>
    <x v="0"/>
    <s v="No Account"/>
    <x v="1"/>
    <x v="388"/>
    <x v="0"/>
    <x v="12"/>
    <x v="4"/>
    <x v="0"/>
    <x v="0"/>
  </r>
  <r>
    <n v="27"/>
    <x v="1"/>
    <x v="0"/>
    <n v="2"/>
    <x v="0"/>
    <s v="Little"/>
    <x v="2"/>
    <x v="389"/>
    <x v="1"/>
    <x v="4"/>
    <x v="4"/>
    <x v="1"/>
    <x v="1"/>
  </r>
  <r>
    <n v="27"/>
    <x v="1"/>
    <x v="0"/>
    <n v="1"/>
    <x v="0"/>
    <s v="Little"/>
    <x v="2"/>
    <x v="257"/>
    <x v="0"/>
    <x v="19"/>
    <x v="3"/>
    <x v="0"/>
    <x v="0"/>
  </r>
  <r>
    <n v="43"/>
    <x v="2"/>
    <x v="0"/>
    <n v="2"/>
    <x v="0"/>
    <s v="No Account"/>
    <x v="1"/>
    <x v="390"/>
    <x v="2"/>
    <x v="12"/>
    <x v="3"/>
    <x v="0"/>
    <x v="0"/>
  </r>
  <r>
    <n v="22"/>
    <x v="1"/>
    <x v="0"/>
    <n v="2"/>
    <x v="0"/>
    <s v="Little"/>
    <x v="1"/>
    <x v="391"/>
    <x v="2"/>
    <x v="4"/>
    <x v="0"/>
    <x v="1"/>
    <x v="1"/>
  </r>
  <r>
    <n v="43"/>
    <x v="2"/>
    <x v="0"/>
    <n v="2"/>
    <x v="0"/>
    <s v="No Account"/>
    <x v="2"/>
    <x v="392"/>
    <x v="2"/>
    <x v="4"/>
    <x v="3"/>
    <x v="0"/>
    <x v="0"/>
  </r>
  <r>
    <n v="27"/>
    <x v="1"/>
    <x v="0"/>
    <n v="2"/>
    <x v="0"/>
    <s v="Little"/>
    <x v="0"/>
    <x v="393"/>
    <x v="0"/>
    <x v="7"/>
    <x v="0"/>
    <x v="0"/>
    <x v="0"/>
  </r>
  <r>
    <n v="26"/>
    <x v="1"/>
    <x v="0"/>
    <n v="3"/>
    <x v="0"/>
    <s v="Quite Rich"/>
    <x v="2"/>
    <x v="394"/>
    <x v="2"/>
    <x v="4"/>
    <x v="0"/>
    <x v="0"/>
    <x v="0"/>
  </r>
  <r>
    <n v="28"/>
    <x v="1"/>
    <x v="0"/>
    <n v="2"/>
    <x v="0"/>
    <s v="Quite Rich"/>
    <x v="3"/>
    <x v="395"/>
    <x v="0"/>
    <x v="2"/>
    <x v="3"/>
    <x v="1"/>
    <x v="1"/>
  </r>
  <r>
    <n v="20"/>
    <x v="1"/>
    <x v="1"/>
    <n v="2"/>
    <x v="0"/>
    <s v="Little"/>
    <x v="1"/>
    <x v="396"/>
    <x v="0"/>
    <x v="4"/>
    <x v="0"/>
    <x v="0"/>
    <x v="0"/>
  </r>
  <r>
    <n v="35"/>
    <x v="2"/>
    <x v="0"/>
    <n v="3"/>
    <x v="0"/>
    <s v="Little"/>
    <x v="2"/>
    <x v="397"/>
    <x v="1"/>
    <x v="20"/>
    <x v="3"/>
    <x v="0"/>
    <x v="0"/>
  </r>
  <r>
    <n v="42"/>
    <x v="2"/>
    <x v="0"/>
    <n v="3"/>
    <x v="0"/>
    <s v="Little"/>
    <x v="2"/>
    <x v="398"/>
    <x v="2"/>
    <x v="2"/>
    <x v="4"/>
    <x v="1"/>
    <x v="1"/>
  </r>
  <r>
    <n v="40"/>
    <x v="2"/>
    <x v="0"/>
    <n v="1"/>
    <x v="2"/>
    <s v="Quite Rich"/>
    <x v="2"/>
    <x v="399"/>
    <x v="0"/>
    <x v="9"/>
    <x v="3"/>
    <x v="0"/>
    <x v="0"/>
  </r>
  <r>
    <n v="35"/>
    <x v="2"/>
    <x v="1"/>
    <n v="2"/>
    <x v="0"/>
    <s v="No Account"/>
    <x v="0"/>
    <x v="400"/>
    <x v="0"/>
    <x v="4"/>
    <x v="3"/>
    <x v="1"/>
    <x v="1"/>
  </r>
  <r>
    <n v="35"/>
    <x v="2"/>
    <x v="0"/>
    <n v="2"/>
    <x v="0"/>
    <s v="Little"/>
    <x v="2"/>
    <x v="401"/>
    <x v="1"/>
    <x v="5"/>
    <x v="3"/>
    <x v="0"/>
    <x v="0"/>
  </r>
  <r>
    <n v="33"/>
    <x v="2"/>
    <x v="0"/>
    <n v="1"/>
    <x v="0"/>
    <s v="Little"/>
    <x v="0"/>
    <x v="402"/>
    <x v="2"/>
    <x v="2"/>
    <x v="3"/>
    <x v="1"/>
    <x v="1"/>
  </r>
  <r>
    <n v="23"/>
    <x v="1"/>
    <x v="1"/>
    <n v="2"/>
    <x v="2"/>
    <s v="No Account"/>
    <x v="0"/>
    <x v="403"/>
    <x v="1"/>
    <x v="12"/>
    <x v="1"/>
    <x v="0"/>
    <x v="0"/>
  </r>
  <r>
    <n v="31"/>
    <x v="2"/>
    <x v="1"/>
    <n v="3"/>
    <x v="0"/>
    <s v="Quite Rich"/>
    <x v="2"/>
    <x v="404"/>
    <x v="2"/>
    <x v="21"/>
    <x v="3"/>
    <x v="0"/>
    <x v="0"/>
  </r>
  <r>
    <n v="33"/>
    <x v="2"/>
    <x v="1"/>
    <n v="2"/>
    <x v="0"/>
    <s v="No Account"/>
    <x v="1"/>
    <x v="405"/>
    <x v="0"/>
    <x v="12"/>
    <x v="3"/>
    <x v="1"/>
    <x v="1"/>
  </r>
  <r>
    <n v="20"/>
    <x v="1"/>
    <x v="1"/>
    <n v="2"/>
    <x v="2"/>
    <s v="Rich"/>
    <x v="2"/>
    <x v="406"/>
    <x v="2"/>
    <x v="7"/>
    <x v="3"/>
    <x v="0"/>
    <x v="0"/>
  </r>
  <r>
    <n v="30"/>
    <x v="2"/>
    <x v="0"/>
    <n v="2"/>
    <x v="0"/>
    <s v="No Account"/>
    <x v="1"/>
    <x v="407"/>
    <x v="2"/>
    <x v="2"/>
    <x v="3"/>
    <x v="0"/>
    <x v="0"/>
  </r>
  <r>
    <n v="47"/>
    <x v="2"/>
    <x v="0"/>
    <n v="1"/>
    <x v="0"/>
    <s v="Little"/>
    <x v="1"/>
    <x v="408"/>
    <x v="0"/>
    <x v="2"/>
    <x v="3"/>
    <x v="0"/>
    <x v="0"/>
  </r>
  <r>
    <n v="34"/>
    <x v="2"/>
    <x v="0"/>
    <n v="3"/>
    <x v="0"/>
    <s v="Moderate"/>
    <x v="2"/>
    <x v="409"/>
    <x v="0"/>
    <x v="21"/>
    <x v="2"/>
    <x v="0"/>
    <x v="0"/>
  </r>
  <r>
    <n v="25"/>
    <x v="1"/>
    <x v="1"/>
    <n v="2"/>
    <x v="0"/>
    <s v="No Account"/>
    <x v="1"/>
    <x v="410"/>
    <x v="2"/>
    <x v="2"/>
    <x v="2"/>
    <x v="1"/>
    <x v="1"/>
  </r>
  <r>
    <n v="21"/>
    <x v="1"/>
    <x v="0"/>
    <n v="2"/>
    <x v="2"/>
    <s v="Little"/>
    <x v="1"/>
    <x v="411"/>
    <x v="2"/>
    <x v="12"/>
    <x v="3"/>
    <x v="0"/>
    <x v="0"/>
  </r>
  <r>
    <n v="29"/>
    <x v="1"/>
    <x v="0"/>
    <n v="2"/>
    <x v="0"/>
    <s v="Little"/>
    <x v="2"/>
    <x v="412"/>
    <x v="2"/>
    <x v="28"/>
    <x v="0"/>
    <x v="0"/>
    <x v="0"/>
  </r>
  <r>
    <n v="46"/>
    <x v="2"/>
    <x v="0"/>
    <n v="2"/>
    <x v="0"/>
    <s v="Rich"/>
    <x v="2"/>
    <x v="413"/>
    <x v="0"/>
    <x v="12"/>
    <x v="0"/>
    <x v="0"/>
    <x v="0"/>
  </r>
  <r>
    <n v="20"/>
    <x v="1"/>
    <x v="0"/>
    <n v="2"/>
    <x v="0"/>
    <s v="Little"/>
    <x v="2"/>
    <x v="414"/>
    <x v="0"/>
    <x v="8"/>
    <x v="2"/>
    <x v="0"/>
    <x v="0"/>
  </r>
  <r>
    <n v="55"/>
    <x v="0"/>
    <x v="1"/>
    <n v="0"/>
    <x v="1"/>
    <s v="Little"/>
    <x v="0"/>
    <x v="415"/>
    <x v="0"/>
    <x v="12"/>
    <x v="6"/>
    <x v="1"/>
    <x v="1"/>
  </r>
  <r>
    <n v="74"/>
    <x v="0"/>
    <x v="0"/>
    <n v="1"/>
    <x v="0"/>
    <s v="Little"/>
    <x v="2"/>
    <x v="416"/>
    <x v="2"/>
    <x v="29"/>
    <x v="4"/>
    <x v="0"/>
    <x v="0"/>
  </r>
  <r>
    <n v="29"/>
    <x v="1"/>
    <x v="0"/>
    <n v="3"/>
    <x v="0"/>
    <s v="Little"/>
    <x v="1"/>
    <x v="417"/>
    <x v="1"/>
    <x v="4"/>
    <x v="7"/>
    <x v="1"/>
    <x v="1"/>
  </r>
  <r>
    <n v="36"/>
    <x v="2"/>
    <x v="0"/>
    <n v="3"/>
    <x v="1"/>
    <s v="Little"/>
    <x v="0"/>
    <x v="418"/>
    <x v="0"/>
    <x v="0"/>
    <x v="2"/>
    <x v="0"/>
    <x v="0"/>
  </r>
  <r>
    <n v="33"/>
    <x v="2"/>
    <x v="0"/>
    <n v="2"/>
    <x v="0"/>
    <s v="Little"/>
    <x v="2"/>
    <x v="419"/>
    <x v="2"/>
    <x v="4"/>
    <x v="6"/>
    <x v="0"/>
    <x v="0"/>
  </r>
  <r>
    <n v="25"/>
    <x v="1"/>
    <x v="0"/>
    <n v="2"/>
    <x v="0"/>
    <s v="Little"/>
    <x v="0"/>
    <x v="420"/>
    <x v="2"/>
    <x v="8"/>
    <x v="2"/>
    <x v="0"/>
    <x v="0"/>
  </r>
  <r>
    <n v="25"/>
    <x v="1"/>
    <x v="0"/>
    <n v="2"/>
    <x v="0"/>
    <s v="No Account"/>
    <x v="1"/>
    <x v="421"/>
    <x v="0"/>
    <x v="2"/>
    <x v="0"/>
    <x v="1"/>
    <x v="1"/>
  </r>
  <r>
    <n v="23"/>
    <x v="1"/>
    <x v="0"/>
    <n v="1"/>
    <x v="2"/>
    <s v="Quite Rich"/>
    <x v="2"/>
    <x v="422"/>
    <x v="0"/>
    <x v="0"/>
    <x v="6"/>
    <x v="0"/>
    <x v="0"/>
  </r>
  <r>
    <n v="37"/>
    <x v="2"/>
    <x v="1"/>
    <n v="2"/>
    <x v="0"/>
    <s v="Rich"/>
    <x v="2"/>
    <x v="288"/>
    <x v="0"/>
    <x v="4"/>
    <x v="3"/>
    <x v="0"/>
    <x v="0"/>
  </r>
  <r>
    <n v="65"/>
    <x v="0"/>
    <x v="0"/>
    <n v="0"/>
    <x v="0"/>
    <s v="Little"/>
    <x v="0"/>
    <x v="423"/>
    <x v="2"/>
    <x v="3"/>
    <x v="6"/>
    <x v="0"/>
    <x v="0"/>
  </r>
  <r>
    <n v="26"/>
    <x v="1"/>
    <x v="1"/>
    <n v="0"/>
    <x v="0"/>
    <s v="Little"/>
    <x v="3"/>
    <x v="424"/>
    <x v="0"/>
    <x v="2"/>
    <x v="4"/>
    <x v="1"/>
    <x v="1"/>
  </r>
  <r>
    <n v="39"/>
    <x v="2"/>
    <x v="0"/>
    <n v="3"/>
    <x v="0"/>
    <s v="Little"/>
    <x v="2"/>
    <x v="425"/>
    <x v="0"/>
    <x v="2"/>
    <x v="3"/>
    <x v="0"/>
    <x v="0"/>
  </r>
  <r>
    <n v="30"/>
    <x v="2"/>
    <x v="1"/>
    <n v="2"/>
    <x v="0"/>
    <s v="Little"/>
    <x v="0"/>
    <x v="426"/>
    <x v="0"/>
    <x v="2"/>
    <x v="2"/>
    <x v="0"/>
    <x v="0"/>
  </r>
  <r>
    <n v="29"/>
    <x v="1"/>
    <x v="0"/>
    <n v="2"/>
    <x v="0"/>
    <s v="Little"/>
    <x v="1"/>
    <x v="427"/>
    <x v="2"/>
    <x v="18"/>
    <x v="7"/>
    <x v="0"/>
    <x v="0"/>
  </r>
  <r>
    <n v="41"/>
    <x v="2"/>
    <x v="0"/>
    <n v="1"/>
    <x v="0"/>
    <s v="Little"/>
    <x v="2"/>
    <x v="428"/>
    <x v="0"/>
    <x v="2"/>
    <x v="1"/>
    <x v="1"/>
    <x v="1"/>
  </r>
  <r>
    <n v="30"/>
    <x v="2"/>
    <x v="1"/>
    <n v="3"/>
    <x v="0"/>
    <s v="Little"/>
    <x v="1"/>
    <x v="429"/>
    <x v="1"/>
    <x v="1"/>
    <x v="2"/>
    <x v="1"/>
    <x v="1"/>
  </r>
  <r>
    <n v="41"/>
    <x v="2"/>
    <x v="1"/>
    <n v="1"/>
    <x v="2"/>
    <s v="No Account"/>
    <x v="2"/>
    <x v="430"/>
    <x v="0"/>
    <x v="8"/>
    <x v="1"/>
    <x v="0"/>
    <x v="0"/>
  </r>
  <r>
    <n v="34"/>
    <x v="2"/>
    <x v="1"/>
    <n v="2"/>
    <x v="0"/>
    <s v="Little"/>
    <x v="0"/>
    <x v="431"/>
    <x v="0"/>
    <x v="5"/>
    <x v="3"/>
    <x v="1"/>
    <x v="1"/>
  </r>
  <r>
    <n v="35"/>
    <x v="2"/>
    <x v="0"/>
    <n v="2"/>
    <x v="0"/>
    <s v="Little"/>
    <x v="1"/>
    <x v="432"/>
    <x v="2"/>
    <x v="10"/>
    <x v="0"/>
    <x v="0"/>
    <x v="0"/>
  </r>
  <r>
    <n v="55"/>
    <x v="0"/>
    <x v="1"/>
    <n v="3"/>
    <x v="0"/>
    <s v="No Account"/>
    <x v="3"/>
    <x v="201"/>
    <x v="0"/>
    <x v="2"/>
    <x v="2"/>
    <x v="0"/>
    <x v="0"/>
  </r>
  <r>
    <n v="61"/>
    <x v="0"/>
    <x v="0"/>
    <n v="2"/>
    <x v="0"/>
    <s v="Rich"/>
    <x v="1"/>
    <x v="433"/>
    <x v="0"/>
    <x v="7"/>
    <x v="6"/>
    <x v="1"/>
    <x v="1"/>
  </r>
  <r>
    <n v="30"/>
    <x v="2"/>
    <x v="0"/>
    <n v="3"/>
    <x v="0"/>
    <s v="No Account"/>
    <x v="2"/>
    <x v="434"/>
    <x v="1"/>
    <x v="5"/>
    <x v="3"/>
    <x v="0"/>
    <x v="0"/>
  </r>
  <r>
    <n v="29"/>
    <x v="1"/>
    <x v="1"/>
    <n v="2"/>
    <x v="0"/>
    <s v="Little"/>
    <x v="2"/>
    <x v="435"/>
    <x v="0"/>
    <x v="0"/>
    <x v="0"/>
    <x v="0"/>
    <x v="0"/>
  </r>
  <r>
    <n v="34"/>
    <x v="2"/>
    <x v="0"/>
    <n v="2"/>
    <x v="0"/>
    <s v="Little"/>
    <x v="2"/>
    <x v="436"/>
    <x v="2"/>
    <x v="2"/>
    <x v="2"/>
    <x v="0"/>
    <x v="0"/>
  </r>
  <r>
    <n v="35"/>
    <x v="2"/>
    <x v="0"/>
    <n v="3"/>
    <x v="0"/>
    <s v="Little"/>
    <x v="2"/>
    <x v="437"/>
    <x v="2"/>
    <x v="4"/>
    <x v="3"/>
    <x v="0"/>
    <x v="0"/>
  </r>
  <r>
    <n v="31"/>
    <x v="2"/>
    <x v="0"/>
    <n v="2"/>
    <x v="0"/>
    <s v="Little"/>
    <x v="0"/>
    <x v="438"/>
    <x v="2"/>
    <x v="4"/>
    <x v="3"/>
    <x v="1"/>
    <x v="1"/>
  </r>
  <r>
    <n v="29"/>
    <x v="1"/>
    <x v="1"/>
    <n v="3"/>
    <x v="0"/>
    <s v="Little"/>
    <x v="2"/>
    <x v="439"/>
    <x v="2"/>
    <x v="4"/>
    <x v="3"/>
    <x v="0"/>
    <x v="0"/>
  </r>
  <r>
    <n v="36"/>
    <x v="2"/>
    <x v="0"/>
    <n v="2"/>
    <x v="2"/>
    <s v="Little"/>
    <x v="0"/>
    <x v="440"/>
    <x v="2"/>
    <x v="14"/>
    <x v="3"/>
    <x v="0"/>
    <x v="0"/>
  </r>
  <r>
    <n v="35"/>
    <x v="2"/>
    <x v="0"/>
    <n v="2"/>
    <x v="1"/>
    <s v="Little"/>
    <x v="0"/>
    <x v="441"/>
    <x v="2"/>
    <x v="2"/>
    <x v="3"/>
    <x v="1"/>
    <x v="1"/>
  </r>
  <r>
    <n v="27"/>
    <x v="1"/>
    <x v="1"/>
    <n v="2"/>
    <x v="0"/>
    <s v="Little"/>
    <x v="0"/>
    <x v="442"/>
    <x v="0"/>
    <x v="0"/>
    <x v="5"/>
    <x v="0"/>
    <x v="0"/>
  </r>
  <r>
    <n v="32"/>
    <x v="2"/>
    <x v="0"/>
    <n v="2"/>
    <x v="0"/>
    <s v="Little"/>
    <x v="2"/>
    <x v="443"/>
    <x v="2"/>
    <x v="12"/>
    <x v="0"/>
    <x v="0"/>
    <x v="0"/>
  </r>
  <r>
    <n v="37"/>
    <x v="2"/>
    <x v="0"/>
    <n v="2"/>
    <x v="0"/>
    <s v="Little"/>
    <x v="0"/>
    <x v="444"/>
    <x v="2"/>
    <x v="5"/>
    <x v="2"/>
    <x v="0"/>
    <x v="0"/>
  </r>
  <r>
    <n v="36"/>
    <x v="2"/>
    <x v="0"/>
    <n v="2"/>
    <x v="0"/>
    <s v="Little"/>
    <x v="0"/>
    <x v="445"/>
    <x v="0"/>
    <x v="7"/>
    <x v="3"/>
    <x v="0"/>
    <x v="0"/>
  </r>
  <r>
    <n v="34"/>
    <x v="2"/>
    <x v="1"/>
    <n v="3"/>
    <x v="2"/>
    <s v="Little"/>
    <x v="1"/>
    <x v="446"/>
    <x v="2"/>
    <x v="2"/>
    <x v="2"/>
    <x v="0"/>
    <x v="0"/>
  </r>
  <r>
    <n v="38"/>
    <x v="2"/>
    <x v="0"/>
    <n v="2"/>
    <x v="0"/>
    <s v="No Account"/>
    <x v="1"/>
    <x v="447"/>
    <x v="0"/>
    <x v="2"/>
    <x v="1"/>
    <x v="0"/>
    <x v="0"/>
  </r>
  <r>
    <n v="34"/>
    <x v="2"/>
    <x v="0"/>
    <n v="2"/>
    <x v="0"/>
    <s v="Little"/>
    <x v="2"/>
    <x v="448"/>
    <x v="0"/>
    <x v="12"/>
    <x v="4"/>
    <x v="0"/>
    <x v="0"/>
  </r>
  <r>
    <n v="63"/>
    <x v="0"/>
    <x v="0"/>
    <n v="2"/>
    <x v="0"/>
    <s v="Little"/>
    <x v="0"/>
    <x v="449"/>
    <x v="2"/>
    <x v="4"/>
    <x v="3"/>
    <x v="0"/>
    <x v="0"/>
  </r>
  <r>
    <n v="29"/>
    <x v="1"/>
    <x v="1"/>
    <n v="1"/>
    <x v="2"/>
    <s v="Little"/>
    <x v="0"/>
    <x v="450"/>
    <x v="0"/>
    <x v="4"/>
    <x v="0"/>
    <x v="1"/>
    <x v="1"/>
  </r>
  <r>
    <n v="32"/>
    <x v="2"/>
    <x v="0"/>
    <n v="2"/>
    <x v="0"/>
    <s v="No Account"/>
    <x v="2"/>
    <x v="451"/>
    <x v="1"/>
    <x v="1"/>
    <x v="0"/>
    <x v="0"/>
    <x v="0"/>
  </r>
  <r>
    <n v="26"/>
    <x v="1"/>
    <x v="1"/>
    <n v="2"/>
    <x v="0"/>
    <s v="Little"/>
    <x v="2"/>
    <x v="452"/>
    <x v="2"/>
    <x v="20"/>
    <x v="4"/>
    <x v="0"/>
    <x v="0"/>
  </r>
  <r>
    <n v="35"/>
    <x v="2"/>
    <x v="0"/>
    <n v="1"/>
    <x v="0"/>
    <s v="Little"/>
    <x v="2"/>
    <x v="453"/>
    <x v="2"/>
    <x v="4"/>
    <x v="3"/>
    <x v="0"/>
    <x v="0"/>
  </r>
  <r>
    <n v="22"/>
    <x v="1"/>
    <x v="0"/>
    <n v="2"/>
    <x v="2"/>
    <s v="Moderate"/>
    <x v="1"/>
    <x v="454"/>
    <x v="2"/>
    <x v="4"/>
    <x v="0"/>
    <x v="1"/>
    <x v="1"/>
  </r>
  <r>
    <n v="23"/>
    <x v="1"/>
    <x v="1"/>
    <n v="2"/>
    <x v="0"/>
    <s v="Little"/>
    <x v="0"/>
    <x v="455"/>
    <x v="0"/>
    <x v="0"/>
    <x v="1"/>
    <x v="1"/>
    <x v="1"/>
  </r>
  <r>
    <n v="28"/>
    <x v="1"/>
    <x v="0"/>
    <n v="1"/>
    <x v="0"/>
    <s v="Little"/>
    <x v="0"/>
    <x v="456"/>
    <x v="0"/>
    <x v="8"/>
    <x v="3"/>
    <x v="1"/>
    <x v="1"/>
  </r>
  <r>
    <n v="36"/>
    <x v="2"/>
    <x v="0"/>
    <n v="3"/>
    <x v="0"/>
    <s v="No Account"/>
    <x v="2"/>
    <x v="457"/>
    <x v="0"/>
    <x v="0"/>
    <x v="1"/>
    <x v="0"/>
    <x v="0"/>
  </r>
  <r>
    <n v="33"/>
    <x v="2"/>
    <x v="0"/>
    <n v="2"/>
    <x v="0"/>
    <s v="Little"/>
    <x v="1"/>
    <x v="458"/>
    <x v="0"/>
    <x v="12"/>
    <x v="0"/>
    <x v="1"/>
    <x v="1"/>
  </r>
  <r>
    <n v="26"/>
    <x v="1"/>
    <x v="1"/>
    <n v="2"/>
    <x v="2"/>
    <s v="Little"/>
    <x v="0"/>
    <x v="459"/>
    <x v="2"/>
    <x v="12"/>
    <x v="2"/>
    <x v="1"/>
    <x v="1"/>
  </r>
  <r>
    <n v="24"/>
    <x v="1"/>
    <x v="0"/>
    <n v="2"/>
    <x v="0"/>
    <s v="Quite Rich"/>
    <x v="2"/>
    <x v="460"/>
    <x v="2"/>
    <x v="27"/>
    <x v="3"/>
    <x v="0"/>
    <x v="0"/>
  </r>
  <r>
    <n v="25"/>
    <x v="1"/>
    <x v="0"/>
    <n v="2"/>
    <x v="0"/>
    <s v="Little"/>
    <x v="3"/>
    <x v="461"/>
    <x v="1"/>
    <x v="4"/>
    <x v="0"/>
    <x v="0"/>
    <x v="0"/>
  </r>
  <r>
    <n v="39"/>
    <x v="2"/>
    <x v="0"/>
    <n v="1"/>
    <x v="0"/>
    <s v="Moderate"/>
    <x v="1"/>
    <x v="462"/>
    <x v="0"/>
    <x v="2"/>
    <x v="4"/>
    <x v="0"/>
    <x v="0"/>
  </r>
  <r>
    <n v="44"/>
    <x v="2"/>
    <x v="0"/>
    <n v="2"/>
    <x v="0"/>
    <s v="Little"/>
    <x v="0"/>
    <x v="220"/>
    <x v="0"/>
    <x v="7"/>
    <x v="2"/>
    <x v="0"/>
    <x v="0"/>
  </r>
  <r>
    <n v="23"/>
    <x v="1"/>
    <x v="1"/>
    <n v="1"/>
    <x v="0"/>
    <s v="Little"/>
    <x v="1"/>
    <x v="463"/>
    <x v="2"/>
    <x v="2"/>
    <x v="0"/>
    <x v="0"/>
    <x v="0"/>
  </r>
  <r>
    <n v="26"/>
    <x v="1"/>
    <x v="0"/>
    <n v="2"/>
    <x v="0"/>
    <s v="Little"/>
    <x v="1"/>
    <x v="464"/>
    <x v="0"/>
    <x v="4"/>
    <x v="3"/>
    <x v="0"/>
    <x v="0"/>
  </r>
  <r>
    <n v="57"/>
    <x v="0"/>
    <x v="1"/>
    <n v="2"/>
    <x v="2"/>
    <s v="Rich"/>
    <x v="0"/>
    <x v="465"/>
    <x v="2"/>
    <x v="6"/>
    <x v="2"/>
    <x v="0"/>
    <x v="0"/>
  </r>
  <r>
    <n v="30"/>
    <x v="2"/>
    <x v="1"/>
    <n v="2"/>
    <x v="0"/>
    <s v="Rich"/>
    <x v="2"/>
    <x v="466"/>
    <x v="0"/>
    <x v="7"/>
    <x v="2"/>
    <x v="0"/>
    <x v="0"/>
  </r>
  <r>
    <n v="44"/>
    <x v="2"/>
    <x v="0"/>
    <n v="2"/>
    <x v="0"/>
    <s v="Quite Rich"/>
    <x v="2"/>
    <x v="467"/>
    <x v="0"/>
    <x v="2"/>
    <x v="3"/>
    <x v="0"/>
    <x v="0"/>
  </r>
  <r>
    <n v="47"/>
    <x v="2"/>
    <x v="0"/>
    <n v="3"/>
    <x v="0"/>
    <s v="Little"/>
    <x v="1"/>
    <x v="468"/>
    <x v="0"/>
    <x v="0"/>
    <x v="3"/>
    <x v="1"/>
    <x v="1"/>
  </r>
  <r>
    <n v="52"/>
    <x v="0"/>
    <x v="0"/>
    <n v="2"/>
    <x v="0"/>
    <s v="Little"/>
    <x v="2"/>
    <x v="469"/>
    <x v="2"/>
    <x v="2"/>
    <x v="0"/>
    <x v="0"/>
    <x v="0"/>
  </r>
  <r>
    <n v="62"/>
    <x v="0"/>
    <x v="1"/>
    <n v="2"/>
    <x v="1"/>
    <s v="Little"/>
    <x v="2"/>
    <x v="470"/>
    <x v="2"/>
    <x v="4"/>
    <x v="3"/>
    <x v="0"/>
    <x v="0"/>
  </r>
  <r>
    <n v="35"/>
    <x v="2"/>
    <x v="0"/>
    <n v="1"/>
    <x v="2"/>
    <s v="Moderate"/>
    <x v="2"/>
    <x v="471"/>
    <x v="0"/>
    <x v="9"/>
    <x v="3"/>
    <x v="0"/>
    <x v="0"/>
  </r>
  <r>
    <n v="26"/>
    <x v="1"/>
    <x v="0"/>
    <n v="2"/>
    <x v="2"/>
    <s v="Little"/>
    <x v="2"/>
    <x v="472"/>
    <x v="2"/>
    <x v="0"/>
    <x v="3"/>
    <x v="0"/>
    <x v="0"/>
  </r>
  <r>
    <n v="26"/>
    <x v="1"/>
    <x v="0"/>
    <n v="2"/>
    <x v="0"/>
    <s v="Little"/>
    <x v="2"/>
    <x v="473"/>
    <x v="0"/>
    <x v="2"/>
    <x v="0"/>
    <x v="0"/>
    <x v="0"/>
  </r>
  <r>
    <n v="42"/>
    <x v="2"/>
    <x v="1"/>
    <n v="3"/>
    <x v="1"/>
    <s v="Little"/>
    <x v="1"/>
    <x v="474"/>
    <x v="1"/>
    <x v="15"/>
    <x v="4"/>
    <x v="1"/>
    <x v="1"/>
  </r>
  <r>
    <n v="27"/>
    <x v="1"/>
    <x v="1"/>
    <n v="2"/>
    <x v="0"/>
    <s v="Moderate"/>
    <x v="2"/>
    <x v="299"/>
    <x v="0"/>
    <x v="0"/>
    <x v="0"/>
    <x v="0"/>
    <x v="0"/>
  </r>
  <r>
    <n v="38"/>
    <x v="2"/>
    <x v="0"/>
    <n v="2"/>
    <x v="0"/>
    <s v="No Account"/>
    <x v="1"/>
    <x v="475"/>
    <x v="0"/>
    <x v="0"/>
    <x v="0"/>
    <x v="0"/>
    <x v="0"/>
  </r>
  <r>
    <n v="39"/>
    <x v="2"/>
    <x v="0"/>
    <n v="1"/>
    <x v="2"/>
    <s v="Little"/>
    <x v="0"/>
    <x v="476"/>
    <x v="2"/>
    <x v="2"/>
    <x v="3"/>
    <x v="0"/>
    <x v="0"/>
  </r>
  <r>
    <n v="20"/>
    <x v="1"/>
    <x v="0"/>
    <n v="2"/>
    <x v="0"/>
    <s v="No Account"/>
    <x v="0"/>
    <x v="477"/>
    <x v="2"/>
    <x v="4"/>
    <x v="2"/>
    <x v="1"/>
    <x v="1"/>
  </r>
  <r>
    <n v="29"/>
    <x v="1"/>
    <x v="0"/>
    <n v="3"/>
    <x v="2"/>
    <s v="Moderate"/>
    <x v="1"/>
    <x v="478"/>
    <x v="1"/>
    <x v="5"/>
    <x v="2"/>
    <x v="1"/>
    <x v="1"/>
  </r>
  <r>
    <n v="40"/>
    <x v="2"/>
    <x v="0"/>
    <n v="2"/>
    <x v="0"/>
    <s v="Little"/>
    <x v="2"/>
    <x v="479"/>
    <x v="0"/>
    <x v="4"/>
    <x v="2"/>
    <x v="0"/>
    <x v="0"/>
  </r>
  <r>
    <n v="32"/>
    <x v="2"/>
    <x v="0"/>
    <n v="1"/>
    <x v="0"/>
    <s v="Little"/>
    <x v="1"/>
    <x v="480"/>
    <x v="0"/>
    <x v="12"/>
    <x v="0"/>
    <x v="0"/>
    <x v="0"/>
  </r>
  <r>
    <n v="28"/>
    <x v="1"/>
    <x v="0"/>
    <n v="2"/>
    <x v="0"/>
    <s v="Moderate"/>
    <x v="3"/>
    <x v="481"/>
    <x v="0"/>
    <x v="0"/>
    <x v="3"/>
    <x v="0"/>
    <x v="0"/>
  </r>
  <r>
    <n v="27"/>
    <x v="1"/>
    <x v="1"/>
    <n v="2"/>
    <x v="0"/>
    <s v="Little"/>
    <x v="0"/>
    <x v="482"/>
    <x v="2"/>
    <x v="4"/>
    <x v="3"/>
    <x v="1"/>
    <x v="1"/>
  </r>
  <r>
    <n v="42"/>
    <x v="2"/>
    <x v="0"/>
    <n v="2"/>
    <x v="1"/>
    <s v="Little"/>
    <x v="0"/>
    <x v="483"/>
    <x v="1"/>
    <x v="5"/>
    <x v="3"/>
    <x v="0"/>
    <x v="0"/>
  </r>
  <r>
    <n v="49"/>
    <x v="2"/>
    <x v="0"/>
    <n v="2"/>
    <x v="0"/>
    <s v="Moderate"/>
    <x v="3"/>
    <x v="375"/>
    <x v="0"/>
    <x v="8"/>
    <x v="0"/>
    <x v="0"/>
    <x v="0"/>
  </r>
  <r>
    <n v="38"/>
    <x v="2"/>
    <x v="0"/>
    <n v="2"/>
    <x v="0"/>
    <s v="Moderate"/>
    <x v="1"/>
    <x v="484"/>
    <x v="0"/>
    <x v="4"/>
    <x v="0"/>
    <x v="1"/>
    <x v="1"/>
  </r>
  <r>
    <n v="24"/>
    <x v="1"/>
    <x v="1"/>
    <n v="2"/>
    <x v="2"/>
    <s v="Little"/>
    <x v="0"/>
    <x v="485"/>
    <x v="0"/>
    <x v="4"/>
    <x v="3"/>
    <x v="1"/>
    <x v="1"/>
  </r>
  <r>
    <n v="27"/>
    <x v="1"/>
    <x v="0"/>
    <n v="1"/>
    <x v="0"/>
    <s v="No Account"/>
    <x v="2"/>
    <x v="486"/>
    <x v="0"/>
    <x v="9"/>
    <x v="3"/>
    <x v="1"/>
    <x v="1"/>
  </r>
  <r>
    <n v="36"/>
    <x v="2"/>
    <x v="0"/>
    <n v="2"/>
    <x v="0"/>
    <s v="Quite Rich"/>
    <x v="3"/>
    <x v="487"/>
    <x v="2"/>
    <x v="7"/>
    <x v="3"/>
    <x v="0"/>
    <x v="0"/>
  </r>
  <r>
    <n v="34"/>
    <x v="2"/>
    <x v="0"/>
    <n v="3"/>
    <x v="0"/>
    <s v="Moderate"/>
    <x v="1"/>
    <x v="488"/>
    <x v="1"/>
    <x v="7"/>
    <x v="3"/>
    <x v="1"/>
    <x v="1"/>
  </r>
  <r>
    <n v="28"/>
    <x v="1"/>
    <x v="0"/>
    <n v="2"/>
    <x v="0"/>
    <s v="Little"/>
    <x v="2"/>
    <x v="203"/>
    <x v="0"/>
    <x v="4"/>
    <x v="0"/>
    <x v="0"/>
    <x v="0"/>
  </r>
  <r>
    <n v="45"/>
    <x v="2"/>
    <x v="0"/>
    <n v="3"/>
    <x v="0"/>
    <s v="Moderate"/>
    <x v="2"/>
    <x v="489"/>
    <x v="1"/>
    <x v="27"/>
    <x v="3"/>
    <x v="0"/>
    <x v="0"/>
  </r>
  <r>
    <n v="26"/>
    <x v="1"/>
    <x v="0"/>
    <n v="2"/>
    <x v="0"/>
    <s v="Little"/>
    <x v="0"/>
    <x v="490"/>
    <x v="0"/>
    <x v="2"/>
    <x v="3"/>
    <x v="1"/>
    <x v="1"/>
  </r>
  <r>
    <n v="32"/>
    <x v="2"/>
    <x v="0"/>
    <n v="3"/>
    <x v="1"/>
    <s v="Little"/>
    <x v="2"/>
    <x v="491"/>
    <x v="2"/>
    <x v="5"/>
    <x v="3"/>
    <x v="0"/>
    <x v="0"/>
  </r>
  <r>
    <n v="26"/>
    <x v="1"/>
    <x v="0"/>
    <n v="2"/>
    <x v="2"/>
    <s v="Little"/>
    <x v="3"/>
    <x v="492"/>
    <x v="2"/>
    <x v="7"/>
    <x v="4"/>
    <x v="0"/>
    <x v="0"/>
  </r>
  <r>
    <n v="20"/>
    <x v="1"/>
    <x v="0"/>
    <n v="2"/>
    <x v="2"/>
    <s v="Little"/>
    <x v="1"/>
    <x v="493"/>
    <x v="0"/>
    <x v="2"/>
    <x v="0"/>
    <x v="0"/>
    <x v="0"/>
  </r>
  <r>
    <n v="54"/>
    <x v="0"/>
    <x v="0"/>
    <n v="2"/>
    <x v="0"/>
    <s v="No Account"/>
    <x v="2"/>
    <x v="494"/>
    <x v="2"/>
    <x v="4"/>
    <x v="3"/>
    <x v="0"/>
    <x v="0"/>
  </r>
  <r>
    <n v="37"/>
    <x v="2"/>
    <x v="1"/>
    <n v="2"/>
    <x v="0"/>
    <s v="Little"/>
    <x v="0"/>
    <x v="424"/>
    <x v="0"/>
    <x v="0"/>
    <x v="3"/>
    <x v="0"/>
    <x v="0"/>
  </r>
  <r>
    <n v="40"/>
    <x v="2"/>
    <x v="0"/>
    <n v="1"/>
    <x v="0"/>
    <s v="Little"/>
    <x v="0"/>
    <x v="495"/>
    <x v="0"/>
    <x v="0"/>
    <x v="3"/>
    <x v="0"/>
    <x v="0"/>
  </r>
  <r>
    <n v="23"/>
    <x v="1"/>
    <x v="1"/>
    <n v="2"/>
    <x v="2"/>
    <s v="Little"/>
    <x v="2"/>
    <x v="496"/>
    <x v="1"/>
    <x v="5"/>
    <x v="2"/>
    <x v="1"/>
    <x v="1"/>
  </r>
  <r>
    <n v="43"/>
    <x v="2"/>
    <x v="0"/>
    <n v="2"/>
    <x v="0"/>
    <s v="Moderate"/>
    <x v="0"/>
    <x v="497"/>
    <x v="0"/>
    <x v="0"/>
    <x v="3"/>
    <x v="0"/>
    <x v="0"/>
  </r>
  <r>
    <n v="36"/>
    <x v="2"/>
    <x v="0"/>
    <n v="2"/>
    <x v="1"/>
    <s v="No Account"/>
    <x v="2"/>
    <x v="498"/>
    <x v="0"/>
    <x v="0"/>
    <x v="0"/>
    <x v="0"/>
    <x v="0"/>
  </r>
  <r>
    <n v="44"/>
    <x v="2"/>
    <x v="0"/>
    <n v="2"/>
    <x v="1"/>
    <s v="Little"/>
    <x v="2"/>
    <x v="499"/>
    <x v="1"/>
    <x v="4"/>
    <x v="6"/>
    <x v="0"/>
    <x v="0"/>
  </r>
  <r>
    <n v="24"/>
    <x v="1"/>
    <x v="1"/>
    <n v="2"/>
    <x v="0"/>
    <s v="Little"/>
    <x v="0"/>
    <x v="500"/>
    <x v="2"/>
    <x v="12"/>
    <x v="0"/>
    <x v="1"/>
    <x v="1"/>
  </r>
  <r>
    <n v="53"/>
    <x v="0"/>
    <x v="0"/>
    <n v="2"/>
    <x v="1"/>
    <s v="Little"/>
    <x v="0"/>
    <x v="501"/>
    <x v="1"/>
    <x v="1"/>
    <x v="2"/>
    <x v="1"/>
    <x v="1"/>
  </r>
  <r>
    <n v="23"/>
    <x v="1"/>
    <x v="1"/>
    <n v="2"/>
    <x v="0"/>
    <s v="Moderate"/>
    <x v="2"/>
    <x v="502"/>
    <x v="2"/>
    <x v="4"/>
    <x v="3"/>
    <x v="0"/>
    <x v="0"/>
  </r>
  <r>
    <n v="26"/>
    <x v="1"/>
    <x v="1"/>
    <n v="1"/>
    <x v="0"/>
    <s v="Little"/>
    <x v="1"/>
    <x v="503"/>
    <x v="0"/>
    <x v="12"/>
    <x v="0"/>
    <x v="0"/>
    <x v="0"/>
  </r>
  <r>
    <n v="30"/>
    <x v="2"/>
    <x v="0"/>
    <n v="2"/>
    <x v="0"/>
    <s v="Little"/>
    <x v="1"/>
    <x v="504"/>
    <x v="1"/>
    <x v="30"/>
    <x v="3"/>
    <x v="0"/>
    <x v="0"/>
  </r>
  <r>
    <n v="31"/>
    <x v="2"/>
    <x v="1"/>
    <n v="2"/>
    <x v="0"/>
    <s v="Moderate"/>
    <x v="2"/>
    <x v="505"/>
    <x v="0"/>
    <x v="7"/>
    <x v="1"/>
    <x v="0"/>
    <x v="0"/>
  </r>
  <r>
    <n v="42"/>
    <x v="2"/>
    <x v="0"/>
    <n v="1"/>
    <x v="0"/>
    <s v="Little"/>
    <x v="2"/>
    <x v="506"/>
    <x v="0"/>
    <x v="23"/>
    <x v="0"/>
    <x v="0"/>
    <x v="0"/>
  </r>
  <r>
    <n v="31"/>
    <x v="2"/>
    <x v="0"/>
    <n v="2"/>
    <x v="2"/>
    <s v="Little"/>
    <x v="0"/>
    <x v="507"/>
    <x v="2"/>
    <x v="5"/>
    <x v="0"/>
    <x v="1"/>
    <x v="1"/>
  </r>
  <r>
    <n v="41"/>
    <x v="2"/>
    <x v="0"/>
    <n v="1"/>
    <x v="0"/>
    <s v="Little"/>
    <x v="0"/>
    <x v="508"/>
    <x v="0"/>
    <x v="0"/>
    <x v="3"/>
    <x v="0"/>
    <x v="0"/>
  </r>
  <r>
    <n v="32"/>
    <x v="2"/>
    <x v="0"/>
    <n v="2"/>
    <x v="0"/>
    <s v="Little"/>
    <x v="1"/>
    <x v="509"/>
    <x v="2"/>
    <x v="5"/>
    <x v="1"/>
    <x v="0"/>
    <x v="0"/>
  </r>
  <r>
    <n v="28"/>
    <x v="1"/>
    <x v="1"/>
    <n v="2"/>
    <x v="2"/>
    <s v="Moderate"/>
    <x v="1"/>
    <x v="510"/>
    <x v="2"/>
    <x v="7"/>
    <x v="3"/>
    <x v="1"/>
    <x v="1"/>
  </r>
  <r>
    <n v="41"/>
    <x v="2"/>
    <x v="0"/>
    <n v="2"/>
    <x v="2"/>
    <s v="Little"/>
    <x v="2"/>
    <x v="506"/>
    <x v="0"/>
    <x v="2"/>
    <x v="3"/>
    <x v="0"/>
    <x v="0"/>
  </r>
  <r>
    <n v="26"/>
    <x v="1"/>
    <x v="0"/>
    <n v="2"/>
    <x v="0"/>
    <s v="Moderate"/>
    <x v="2"/>
    <x v="511"/>
    <x v="0"/>
    <x v="4"/>
    <x v="0"/>
    <x v="0"/>
    <x v="0"/>
  </r>
  <r>
    <n v="25"/>
    <x v="1"/>
    <x v="0"/>
    <n v="2"/>
    <x v="0"/>
    <s v="No Account"/>
    <x v="2"/>
    <x v="512"/>
    <x v="2"/>
    <x v="4"/>
    <x v="0"/>
    <x v="0"/>
    <x v="0"/>
  </r>
  <r>
    <n v="33"/>
    <x v="2"/>
    <x v="0"/>
    <n v="2"/>
    <x v="2"/>
    <s v="Little"/>
    <x v="3"/>
    <x v="513"/>
    <x v="2"/>
    <x v="21"/>
    <x v="1"/>
    <x v="1"/>
    <x v="1"/>
  </r>
  <r>
    <n v="75"/>
    <x v="0"/>
    <x v="1"/>
    <n v="3"/>
    <x v="0"/>
    <s v="No Account"/>
    <x v="0"/>
    <x v="25"/>
    <x v="0"/>
    <x v="0"/>
    <x v="3"/>
    <x v="0"/>
    <x v="0"/>
  </r>
  <r>
    <n v="37"/>
    <x v="2"/>
    <x v="1"/>
    <n v="2"/>
    <x v="0"/>
    <s v="Little"/>
    <x v="1"/>
    <x v="514"/>
    <x v="2"/>
    <x v="12"/>
    <x v="2"/>
    <x v="0"/>
    <x v="0"/>
  </r>
  <r>
    <n v="42"/>
    <x v="2"/>
    <x v="0"/>
    <n v="3"/>
    <x v="1"/>
    <s v="Little"/>
    <x v="0"/>
    <x v="515"/>
    <x v="1"/>
    <x v="1"/>
    <x v="3"/>
    <x v="1"/>
    <x v="1"/>
  </r>
  <r>
    <n v="45"/>
    <x v="2"/>
    <x v="1"/>
    <n v="1"/>
    <x v="0"/>
    <s v="Little"/>
    <x v="3"/>
    <x v="516"/>
    <x v="2"/>
    <x v="12"/>
    <x v="2"/>
    <x v="0"/>
    <x v="0"/>
  </r>
  <r>
    <n v="23"/>
    <x v="1"/>
    <x v="0"/>
    <n v="2"/>
    <x v="2"/>
    <s v="Little"/>
    <x v="1"/>
    <x v="517"/>
    <x v="0"/>
    <x v="2"/>
    <x v="0"/>
    <x v="1"/>
    <x v="1"/>
  </r>
  <r>
    <n v="60"/>
    <x v="0"/>
    <x v="0"/>
    <n v="2"/>
    <x v="1"/>
    <s v="Little"/>
    <x v="2"/>
    <x v="518"/>
    <x v="2"/>
    <x v="4"/>
    <x v="3"/>
    <x v="0"/>
    <x v="0"/>
  </r>
  <r>
    <n v="31"/>
    <x v="2"/>
    <x v="0"/>
    <n v="2"/>
    <x v="0"/>
    <s v="No Account"/>
    <x v="0"/>
    <x v="519"/>
    <x v="1"/>
    <x v="6"/>
    <x v="2"/>
    <x v="1"/>
    <x v="1"/>
  </r>
  <r>
    <n v="34"/>
    <x v="2"/>
    <x v="0"/>
    <n v="1"/>
    <x v="0"/>
    <s v="Little"/>
    <x v="3"/>
    <x v="520"/>
    <x v="2"/>
    <x v="12"/>
    <x v="2"/>
    <x v="1"/>
    <x v="1"/>
  </r>
  <r>
    <n v="61"/>
    <x v="0"/>
    <x v="0"/>
    <n v="1"/>
    <x v="0"/>
    <s v="Little"/>
    <x v="2"/>
    <x v="521"/>
    <x v="0"/>
    <x v="2"/>
    <x v="3"/>
    <x v="0"/>
    <x v="0"/>
  </r>
  <r>
    <n v="43"/>
    <x v="2"/>
    <x v="0"/>
    <n v="2"/>
    <x v="1"/>
    <s v="Little"/>
    <x v="0"/>
    <x v="522"/>
    <x v="0"/>
    <x v="4"/>
    <x v="3"/>
    <x v="1"/>
    <x v="1"/>
  </r>
  <r>
    <n v="37"/>
    <x v="2"/>
    <x v="1"/>
    <n v="2"/>
    <x v="0"/>
    <s v="Little"/>
    <x v="2"/>
    <x v="523"/>
    <x v="2"/>
    <x v="4"/>
    <x v="3"/>
    <x v="0"/>
    <x v="0"/>
  </r>
  <r>
    <n v="32"/>
    <x v="2"/>
    <x v="0"/>
    <n v="2"/>
    <x v="0"/>
    <s v="Little"/>
    <x v="2"/>
    <x v="524"/>
    <x v="0"/>
    <x v="4"/>
    <x v="0"/>
    <x v="0"/>
    <x v="0"/>
  </r>
  <r>
    <n v="24"/>
    <x v="1"/>
    <x v="1"/>
    <n v="1"/>
    <x v="0"/>
    <s v="Little"/>
    <x v="0"/>
    <x v="525"/>
    <x v="0"/>
    <x v="2"/>
    <x v="0"/>
    <x v="1"/>
    <x v="1"/>
  </r>
  <r>
    <n v="35"/>
    <x v="2"/>
    <x v="0"/>
    <n v="2"/>
    <x v="1"/>
    <s v="No Account"/>
    <x v="2"/>
    <x v="526"/>
    <x v="1"/>
    <x v="1"/>
    <x v="3"/>
    <x v="0"/>
    <x v="0"/>
  </r>
  <r>
    <n v="23"/>
    <x v="1"/>
    <x v="1"/>
    <n v="2"/>
    <x v="0"/>
    <s v="No Account"/>
    <x v="2"/>
    <x v="527"/>
    <x v="0"/>
    <x v="2"/>
    <x v="6"/>
    <x v="0"/>
    <x v="0"/>
  </r>
  <r>
    <n v="45"/>
    <x v="2"/>
    <x v="0"/>
    <n v="1"/>
    <x v="0"/>
    <s v="Quite Rich"/>
    <x v="2"/>
    <x v="528"/>
    <x v="0"/>
    <x v="0"/>
    <x v="0"/>
    <x v="0"/>
    <x v="0"/>
  </r>
  <r>
    <n v="34"/>
    <x v="2"/>
    <x v="0"/>
    <n v="2"/>
    <x v="0"/>
    <s v="Little"/>
    <x v="0"/>
    <x v="529"/>
    <x v="1"/>
    <x v="1"/>
    <x v="0"/>
    <x v="1"/>
    <x v="1"/>
  </r>
  <r>
    <n v="27"/>
    <x v="1"/>
    <x v="0"/>
    <n v="2"/>
    <x v="0"/>
    <s v="Moderate"/>
    <x v="1"/>
    <x v="530"/>
    <x v="0"/>
    <x v="2"/>
    <x v="3"/>
    <x v="0"/>
    <x v="0"/>
  </r>
  <r>
    <n v="67"/>
    <x v="0"/>
    <x v="1"/>
    <n v="3"/>
    <x v="0"/>
    <s v="Little"/>
    <x v="1"/>
    <x v="13"/>
    <x v="0"/>
    <x v="8"/>
    <x v="1"/>
    <x v="0"/>
    <x v="0"/>
  </r>
  <r>
    <n v="22"/>
    <x v="1"/>
    <x v="0"/>
    <n v="2"/>
    <x v="0"/>
    <s v="Little"/>
    <x v="1"/>
    <x v="531"/>
    <x v="0"/>
    <x v="2"/>
    <x v="0"/>
    <x v="1"/>
    <x v="1"/>
  </r>
  <r>
    <n v="28"/>
    <x v="1"/>
    <x v="1"/>
    <n v="2"/>
    <x v="0"/>
    <s v="Moderate"/>
    <x v="1"/>
    <x v="532"/>
    <x v="2"/>
    <x v="12"/>
    <x v="3"/>
    <x v="1"/>
    <x v="1"/>
  </r>
  <r>
    <n v="29"/>
    <x v="1"/>
    <x v="1"/>
    <n v="2"/>
    <x v="0"/>
    <s v="No Account"/>
    <x v="2"/>
    <x v="533"/>
    <x v="1"/>
    <x v="21"/>
    <x v="3"/>
    <x v="1"/>
    <x v="1"/>
  </r>
  <r>
    <n v="27"/>
    <x v="1"/>
    <x v="0"/>
    <n v="2"/>
    <x v="0"/>
    <s v="Little"/>
    <x v="0"/>
    <x v="534"/>
    <x v="2"/>
    <x v="4"/>
    <x v="2"/>
    <x v="1"/>
    <x v="1"/>
  </r>
  <r>
    <n v="31"/>
    <x v="2"/>
    <x v="0"/>
    <n v="1"/>
    <x v="0"/>
    <s v="Little"/>
    <x v="1"/>
    <x v="535"/>
    <x v="0"/>
    <x v="12"/>
    <x v="2"/>
    <x v="1"/>
    <x v="1"/>
  </r>
  <r>
    <n v="49"/>
    <x v="2"/>
    <x v="0"/>
    <n v="2"/>
    <x v="1"/>
    <s v="No Account"/>
    <x v="0"/>
    <x v="536"/>
    <x v="2"/>
    <x v="4"/>
    <x v="3"/>
    <x v="0"/>
    <x v="0"/>
  </r>
  <r>
    <n v="24"/>
    <x v="1"/>
    <x v="0"/>
    <n v="1"/>
    <x v="2"/>
    <s v="Little"/>
    <x v="0"/>
    <x v="537"/>
    <x v="0"/>
    <x v="4"/>
    <x v="0"/>
    <x v="1"/>
    <x v="1"/>
  </r>
  <r>
    <n v="29"/>
    <x v="1"/>
    <x v="1"/>
    <n v="2"/>
    <x v="0"/>
    <s v="Little"/>
    <x v="3"/>
    <x v="538"/>
    <x v="0"/>
    <x v="0"/>
    <x v="0"/>
    <x v="0"/>
    <x v="0"/>
  </r>
  <r>
    <n v="37"/>
    <x v="2"/>
    <x v="0"/>
    <n v="2"/>
    <x v="1"/>
    <s v="No Account"/>
    <x v="1"/>
    <x v="539"/>
    <x v="1"/>
    <x v="5"/>
    <x v="3"/>
    <x v="1"/>
    <x v="1"/>
  </r>
  <r>
    <n v="37"/>
    <x v="2"/>
    <x v="0"/>
    <n v="3"/>
    <x v="0"/>
    <s v="No Account"/>
    <x v="1"/>
    <x v="540"/>
    <x v="2"/>
    <x v="4"/>
    <x v="4"/>
    <x v="0"/>
    <x v="0"/>
  </r>
  <r>
    <n v="23"/>
    <x v="1"/>
    <x v="1"/>
    <n v="2"/>
    <x v="2"/>
    <s v="Moderate"/>
    <x v="1"/>
    <x v="541"/>
    <x v="0"/>
    <x v="4"/>
    <x v="0"/>
    <x v="0"/>
    <x v="0"/>
  </r>
  <r>
    <n v="36"/>
    <x v="2"/>
    <x v="0"/>
    <n v="2"/>
    <x v="0"/>
    <s v="Little"/>
    <x v="0"/>
    <x v="542"/>
    <x v="0"/>
    <x v="2"/>
    <x v="3"/>
    <x v="1"/>
    <x v="1"/>
  </r>
  <r>
    <n v="34"/>
    <x v="2"/>
    <x v="0"/>
    <n v="2"/>
    <x v="0"/>
    <s v="Rich"/>
    <x v="2"/>
    <x v="383"/>
    <x v="2"/>
    <x v="4"/>
    <x v="0"/>
    <x v="0"/>
    <x v="0"/>
  </r>
  <r>
    <n v="41"/>
    <x v="2"/>
    <x v="0"/>
    <n v="2"/>
    <x v="0"/>
    <s v="No Account"/>
    <x v="1"/>
    <x v="543"/>
    <x v="2"/>
    <x v="1"/>
    <x v="0"/>
    <x v="0"/>
    <x v="0"/>
  </r>
  <r>
    <n v="31"/>
    <x v="2"/>
    <x v="1"/>
    <n v="2"/>
    <x v="0"/>
    <s v="Little"/>
    <x v="0"/>
    <x v="544"/>
    <x v="1"/>
    <x v="1"/>
    <x v="0"/>
    <x v="1"/>
    <x v="1"/>
  </r>
  <r>
    <n v="23"/>
    <x v="1"/>
    <x v="1"/>
    <n v="1"/>
    <x v="2"/>
    <s v="Little"/>
    <x v="0"/>
    <x v="545"/>
    <x v="2"/>
    <x v="4"/>
    <x v="2"/>
    <x v="1"/>
    <x v="1"/>
  </r>
  <r>
    <n v="38"/>
    <x v="2"/>
    <x v="0"/>
    <n v="2"/>
    <x v="0"/>
    <s v="Little"/>
    <x v="2"/>
    <x v="72"/>
    <x v="1"/>
    <x v="6"/>
    <x v="0"/>
    <x v="0"/>
    <x v="0"/>
  </r>
  <r>
    <n v="26"/>
    <x v="1"/>
    <x v="1"/>
    <n v="3"/>
    <x v="2"/>
    <s v="No Account"/>
    <x v="2"/>
    <x v="546"/>
    <x v="1"/>
    <x v="4"/>
    <x v="3"/>
    <x v="0"/>
    <x v="0"/>
  </r>
  <r>
    <n v="22"/>
    <x v="1"/>
    <x v="1"/>
    <n v="1"/>
    <x v="0"/>
    <s v="Little"/>
    <x v="0"/>
    <x v="547"/>
    <x v="0"/>
    <x v="7"/>
    <x v="4"/>
    <x v="0"/>
    <x v="0"/>
  </r>
  <r>
    <n v="27"/>
    <x v="1"/>
    <x v="0"/>
    <n v="1"/>
    <x v="0"/>
    <s v="Little"/>
    <x v="1"/>
    <x v="548"/>
    <x v="0"/>
    <x v="8"/>
    <x v="0"/>
    <x v="0"/>
    <x v="0"/>
  </r>
  <r>
    <n v="24"/>
    <x v="1"/>
    <x v="1"/>
    <n v="2"/>
    <x v="0"/>
    <s v="Little"/>
    <x v="2"/>
    <x v="549"/>
    <x v="2"/>
    <x v="7"/>
    <x v="2"/>
    <x v="0"/>
    <x v="0"/>
  </r>
  <r>
    <n v="27"/>
    <x v="1"/>
    <x v="1"/>
    <n v="2"/>
    <x v="0"/>
    <s v="Little"/>
    <x v="1"/>
    <x v="550"/>
    <x v="2"/>
    <x v="2"/>
    <x v="0"/>
    <x v="0"/>
    <x v="0"/>
  </r>
  <r>
    <n v="33"/>
    <x v="2"/>
    <x v="1"/>
    <n v="2"/>
    <x v="0"/>
    <s v="No Account"/>
    <x v="2"/>
    <x v="551"/>
    <x v="0"/>
    <x v="4"/>
    <x v="1"/>
    <x v="0"/>
    <x v="0"/>
  </r>
  <r>
    <n v="27"/>
    <x v="1"/>
    <x v="0"/>
    <n v="2"/>
    <x v="0"/>
    <s v="Little"/>
    <x v="1"/>
    <x v="552"/>
    <x v="2"/>
    <x v="5"/>
    <x v="3"/>
    <x v="1"/>
    <x v="1"/>
  </r>
  <r>
    <n v="27"/>
    <x v="1"/>
    <x v="0"/>
    <n v="1"/>
    <x v="0"/>
    <s v="Little"/>
    <x v="2"/>
    <x v="553"/>
    <x v="0"/>
    <x v="4"/>
    <x v="1"/>
    <x v="0"/>
    <x v="0"/>
  </r>
  <r>
    <n v="30"/>
    <x v="2"/>
    <x v="0"/>
    <n v="2"/>
    <x v="0"/>
    <s v="Little"/>
    <x v="1"/>
    <x v="554"/>
    <x v="0"/>
    <x v="12"/>
    <x v="3"/>
    <x v="1"/>
    <x v="1"/>
  </r>
  <r>
    <n v="49"/>
    <x v="2"/>
    <x v="0"/>
    <n v="1"/>
    <x v="0"/>
    <s v="Little"/>
    <x v="1"/>
    <x v="555"/>
    <x v="2"/>
    <x v="2"/>
    <x v="3"/>
    <x v="0"/>
    <x v="0"/>
  </r>
  <r>
    <n v="26"/>
    <x v="1"/>
    <x v="1"/>
    <n v="2"/>
    <x v="2"/>
    <s v="Little"/>
    <x v="2"/>
    <x v="556"/>
    <x v="0"/>
    <x v="8"/>
    <x v="2"/>
    <x v="0"/>
    <x v="0"/>
  </r>
  <r>
    <n v="33"/>
    <x v="2"/>
    <x v="0"/>
    <n v="1"/>
    <x v="2"/>
    <s v="Little"/>
    <x v="1"/>
    <x v="557"/>
    <x v="2"/>
    <x v="5"/>
    <x v="6"/>
    <x v="1"/>
    <x v="1"/>
  </r>
  <r>
    <n v="52"/>
    <x v="0"/>
    <x v="1"/>
    <n v="3"/>
    <x v="1"/>
    <s v="No Account"/>
    <x v="2"/>
    <x v="558"/>
    <x v="2"/>
    <x v="2"/>
    <x v="3"/>
    <x v="0"/>
    <x v="0"/>
  </r>
  <r>
    <n v="20"/>
    <x v="1"/>
    <x v="1"/>
    <n v="2"/>
    <x v="2"/>
    <s v="Little"/>
    <x v="0"/>
    <x v="391"/>
    <x v="2"/>
    <x v="12"/>
    <x v="2"/>
    <x v="1"/>
    <x v="1"/>
  </r>
  <r>
    <n v="36"/>
    <x v="2"/>
    <x v="0"/>
    <n v="2"/>
    <x v="2"/>
    <s v="Little"/>
    <x v="0"/>
    <x v="559"/>
    <x v="2"/>
    <x v="8"/>
    <x v="3"/>
    <x v="0"/>
    <x v="0"/>
  </r>
  <r>
    <n v="21"/>
    <x v="1"/>
    <x v="0"/>
    <n v="1"/>
    <x v="0"/>
    <s v="Little"/>
    <x v="0"/>
    <x v="560"/>
    <x v="0"/>
    <x v="2"/>
    <x v="2"/>
    <x v="0"/>
    <x v="0"/>
  </r>
  <r>
    <n v="47"/>
    <x v="2"/>
    <x v="0"/>
    <n v="1"/>
    <x v="0"/>
    <s v="Little"/>
    <x v="0"/>
    <x v="561"/>
    <x v="0"/>
    <x v="12"/>
    <x v="5"/>
    <x v="1"/>
    <x v="1"/>
  </r>
  <r>
    <n v="60"/>
    <x v="0"/>
    <x v="0"/>
    <n v="2"/>
    <x v="0"/>
    <s v="Little"/>
    <x v="0"/>
    <x v="562"/>
    <x v="2"/>
    <x v="2"/>
    <x v="2"/>
    <x v="1"/>
    <x v="1"/>
  </r>
  <r>
    <n v="58"/>
    <x v="0"/>
    <x v="1"/>
    <n v="1"/>
    <x v="0"/>
    <s v="Little"/>
    <x v="0"/>
    <x v="563"/>
    <x v="0"/>
    <x v="2"/>
    <x v="0"/>
    <x v="0"/>
    <x v="0"/>
  </r>
  <r>
    <n v="42"/>
    <x v="2"/>
    <x v="1"/>
    <n v="2"/>
    <x v="2"/>
    <s v="No Account"/>
    <x v="1"/>
    <x v="564"/>
    <x v="0"/>
    <x v="4"/>
    <x v="3"/>
    <x v="0"/>
    <x v="0"/>
  </r>
  <r>
    <n v="36"/>
    <x v="2"/>
    <x v="1"/>
    <n v="1"/>
    <x v="0"/>
    <s v="Rich"/>
    <x v="2"/>
    <x v="565"/>
    <x v="0"/>
    <x v="21"/>
    <x v="4"/>
    <x v="0"/>
    <x v="0"/>
  </r>
  <r>
    <n v="20"/>
    <x v="1"/>
    <x v="1"/>
    <n v="1"/>
    <x v="2"/>
    <s v="Little"/>
    <x v="1"/>
    <x v="566"/>
    <x v="2"/>
    <x v="4"/>
    <x v="3"/>
    <x v="1"/>
    <x v="1"/>
  </r>
  <r>
    <n v="40"/>
    <x v="2"/>
    <x v="0"/>
    <n v="3"/>
    <x v="0"/>
    <s v="No Account"/>
    <x v="0"/>
    <x v="567"/>
    <x v="0"/>
    <x v="4"/>
    <x v="7"/>
    <x v="1"/>
    <x v="1"/>
  </r>
  <r>
    <n v="32"/>
    <x v="2"/>
    <x v="1"/>
    <n v="1"/>
    <x v="0"/>
    <s v="Moderate"/>
    <x v="1"/>
    <x v="568"/>
    <x v="0"/>
    <x v="0"/>
    <x v="3"/>
    <x v="1"/>
    <x v="1"/>
  </r>
  <r>
    <n v="23"/>
    <x v="1"/>
    <x v="1"/>
    <n v="2"/>
    <x v="2"/>
    <s v="Little"/>
    <x v="0"/>
    <x v="569"/>
    <x v="0"/>
    <x v="4"/>
    <x v="3"/>
    <x v="1"/>
    <x v="1"/>
  </r>
  <r>
    <n v="36"/>
    <x v="2"/>
    <x v="0"/>
    <n v="1"/>
    <x v="0"/>
    <s v="Little"/>
    <x v="1"/>
    <x v="570"/>
    <x v="2"/>
    <x v="4"/>
    <x v="4"/>
    <x v="1"/>
    <x v="1"/>
  </r>
  <r>
    <n v="31"/>
    <x v="2"/>
    <x v="0"/>
    <n v="2"/>
    <x v="0"/>
    <s v="Little"/>
    <x v="2"/>
    <x v="571"/>
    <x v="2"/>
    <x v="12"/>
    <x v="3"/>
    <x v="1"/>
    <x v="1"/>
  </r>
  <r>
    <n v="32"/>
    <x v="2"/>
    <x v="0"/>
    <n v="2"/>
    <x v="1"/>
    <s v="Little"/>
    <x v="2"/>
    <x v="572"/>
    <x v="2"/>
    <x v="4"/>
    <x v="4"/>
    <x v="0"/>
    <x v="0"/>
  </r>
  <r>
    <n v="45"/>
    <x v="2"/>
    <x v="1"/>
    <n v="2"/>
    <x v="0"/>
    <s v="Little"/>
    <x v="1"/>
    <x v="573"/>
    <x v="2"/>
    <x v="10"/>
    <x v="0"/>
    <x v="0"/>
    <x v="0"/>
  </r>
  <r>
    <n v="30"/>
    <x v="2"/>
    <x v="1"/>
    <n v="2"/>
    <x v="0"/>
    <s v="Little"/>
    <x v="1"/>
    <x v="574"/>
    <x v="0"/>
    <x v="8"/>
    <x v="2"/>
    <x v="1"/>
    <x v="1"/>
  </r>
  <r>
    <n v="34"/>
    <x v="2"/>
    <x v="1"/>
    <n v="1"/>
    <x v="1"/>
    <s v="Little"/>
    <x v="1"/>
    <x v="575"/>
    <x v="0"/>
    <x v="4"/>
    <x v="1"/>
    <x v="1"/>
    <x v="1"/>
  </r>
  <r>
    <n v="28"/>
    <x v="1"/>
    <x v="1"/>
    <n v="3"/>
    <x v="0"/>
    <s v="Little"/>
    <x v="2"/>
    <x v="576"/>
    <x v="2"/>
    <x v="5"/>
    <x v="2"/>
    <x v="1"/>
    <x v="1"/>
  </r>
  <r>
    <n v="23"/>
    <x v="1"/>
    <x v="1"/>
    <n v="2"/>
    <x v="0"/>
    <s v="Little"/>
    <x v="3"/>
    <x v="327"/>
    <x v="0"/>
    <x v="9"/>
    <x v="2"/>
    <x v="0"/>
    <x v="0"/>
  </r>
  <r>
    <n v="22"/>
    <x v="1"/>
    <x v="0"/>
    <n v="2"/>
    <x v="0"/>
    <s v="Quite Rich"/>
    <x v="0"/>
    <x v="577"/>
    <x v="2"/>
    <x v="4"/>
    <x v="2"/>
    <x v="0"/>
    <x v="0"/>
  </r>
  <r>
    <n v="74"/>
    <x v="0"/>
    <x v="0"/>
    <n v="3"/>
    <x v="0"/>
    <s v="Little"/>
    <x v="2"/>
    <x v="578"/>
    <x v="2"/>
    <x v="4"/>
    <x v="4"/>
    <x v="0"/>
    <x v="0"/>
  </r>
  <r>
    <n v="50"/>
    <x v="0"/>
    <x v="1"/>
    <n v="2"/>
    <x v="1"/>
    <s v="Moderate"/>
    <x v="1"/>
    <x v="579"/>
    <x v="2"/>
    <x v="5"/>
    <x v="0"/>
    <x v="1"/>
    <x v="1"/>
  </r>
  <r>
    <n v="33"/>
    <x v="2"/>
    <x v="0"/>
    <n v="2"/>
    <x v="0"/>
    <s v="Little"/>
    <x v="2"/>
    <x v="580"/>
    <x v="2"/>
    <x v="12"/>
    <x v="0"/>
    <x v="0"/>
    <x v="0"/>
  </r>
  <r>
    <n v="45"/>
    <x v="2"/>
    <x v="0"/>
    <n v="2"/>
    <x v="1"/>
    <s v="No Account"/>
    <x v="2"/>
    <x v="581"/>
    <x v="0"/>
    <x v="7"/>
    <x v="3"/>
    <x v="0"/>
    <x v="0"/>
  </r>
  <r>
    <n v="22"/>
    <x v="1"/>
    <x v="1"/>
    <n v="2"/>
    <x v="0"/>
    <s v="Moderate"/>
    <x v="0"/>
    <x v="582"/>
    <x v="0"/>
    <x v="2"/>
    <x v="5"/>
    <x v="1"/>
    <x v="1"/>
  </r>
  <r>
    <n v="48"/>
    <x v="2"/>
    <x v="1"/>
    <n v="1"/>
    <x v="1"/>
    <s v="Moderate"/>
    <x v="3"/>
    <x v="133"/>
    <x v="0"/>
    <x v="9"/>
    <x v="3"/>
    <x v="1"/>
    <x v="1"/>
  </r>
  <r>
    <n v="29"/>
    <x v="1"/>
    <x v="1"/>
    <n v="2"/>
    <x v="0"/>
    <s v="Rich"/>
    <x v="0"/>
    <x v="583"/>
    <x v="2"/>
    <x v="21"/>
    <x v="0"/>
    <x v="0"/>
    <x v="0"/>
  </r>
  <r>
    <n v="22"/>
    <x v="1"/>
    <x v="1"/>
    <n v="2"/>
    <x v="2"/>
    <s v="Little"/>
    <x v="0"/>
    <x v="584"/>
    <x v="2"/>
    <x v="4"/>
    <x v="3"/>
    <x v="0"/>
    <x v="0"/>
  </r>
  <r>
    <n v="22"/>
    <x v="1"/>
    <x v="1"/>
    <n v="2"/>
    <x v="0"/>
    <s v="Little"/>
    <x v="2"/>
    <x v="585"/>
    <x v="0"/>
    <x v="12"/>
    <x v="2"/>
    <x v="1"/>
    <x v="1"/>
  </r>
  <r>
    <n v="48"/>
    <x v="2"/>
    <x v="0"/>
    <n v="3"/>
    <x v="0"/>
    <s v="No Account"/>
    <x v="1"/>
    <x v="586"/>
    <x v="1"/>
    <x v="1"/>
    <x v="4"/>
    <x v="0"/>
    <x v="0"/>
  </r>
  <r>
    <n v="27"/>
    <x v="1"/>
    <x v="0"/>
    <n v="3"/>
    <x v="1"/>
    <s v="No Account"/>
    <x v="1"/>
    <x v="587"/>
    <x v="1"/>
    <x v="11"/>
    <x v="0"/>
    <x v="0"/>
    <x v="0"/>
  </r>
  <r>
    <n v="37"/>
    <x v="2"/>
    <x v="0"/>
    <n v="2"/>
    <x v="2"/>
    <s v="Little"/>
    <x v="0"/>
    <x v="588"/>
    <x v="2"/>
    <x v="0"/>
    <x v="3"/>
    <x v="0"/>
    <x v="0"/>
  </r>
  <r>
    <n v="21"/>
    <x v="1"/>
    <x v="1"/>
    <n v="2"/>
    <x v="2"/>
    <s v="Moderate"/>
    <x v="1"/>
    <x v="589"/>
    <x v="2"/>
    <x v="6"/>
    <x v="2"/>
    <x v="1"/>
    <x v="1"/>
  </r>
  <r>
    <n v="49"/>
    <x v="2"/>
    <x v="0"/>
    <n v="1"/>
    <x v="0"/>
    <s v="Little"/>
    <x v="2"/>
    <x v="590"/>
    <x v="0"/>
    <x v="2"/>
    <x v="3"/>
    <x v="0"/>
    <x v="0"/>
  </r>
  <r>
    <n v="27"/>
    <x v="1"/>
    <x v="0"/>
    <n v="2"/>
    <x v="0"/>
    <s v="Little"/>
    <x v="1"/>
    <x v="591"/>
    <x v="2"/>
    <x v="21"/>
    <x v="4"/>
    <x v="0"/>
    <x v="0"/>
  </r>
  <r>
    <n v="32"/>
    <x v="2"/>
    <x v="0"/>
    <n v="2"/>
    <x v="0"/>
    <s v="Little"/>
    <x v="2"/>
    <x v="592"/>
    <x v="0"/>
    <x v="12"/>
    <x v="3"/>
    <x v="1"/>
    <x v="1"/>
  </r>
  <r>
    <n v="38"/>
    <x v="2"/>
    <x v="0"/>
    <n v="2"/>
    <x v="0"/>
    <s v="No Account"/>
    <x v="2"/>
    <x v="593"/>
    <x v="2"/>
    <x v="1"/>
    <x v="4"/>
    <x v="1"/>
    <x v="1"/>
  </r>
  <r>
    <n v="22"/>
    <x v="1"/>
    <x v="1"/>
    <n v="2"/>
    <x v="2"/>
    <s v="Little"/>
    <x v="0"/>
    <x v="594"/>
    <x v="0"/>
    <x v="2"/>
    <x v="2"/>
    <x v="0"/>
    <x v="0"/>
  </r>
  <r>
    <n v="65"/>
    <x v="0"/>
    <x v="0"/>
    <n v="2"/>
    <x v="1"/>
    <s v="Little"/>
    <x v="0"/>
    <x v="595"/>
    <x v="2"/>
    <x v="12"/>
    <x v="0"/>
    <x v="1"/>
    <x v="1"/>
  </r>
  <r>
    <n v="35"/>
    <x v="2"/>
    <x v="0"/>
    <n v="2"/>
    <x v="0"/>
    <s v="No Account"/>
    <x v="2"/>
    <x v="596"/>
    <x v="0"/>
    <x v="7"/>
    <x v="0"/>
    <x v="0"/>
    <x v="0"/>
  </r>
  <r>
    <n v="41"/>
    <x v="2"/>
    <x v="0"/>
    <n v="2"/>
    <x v="0"/>
    <s v="Little"/>
    <x v="3"/>
    <x v="597"/>
    <x v="2"/>
    <x v="0"/>
    <x v="2"/>
    <x v="0"/>
    <x v="0"/>
  </r>
  <r>
    <n v="29"/>
    <x v="1"/>
    <x v="0"/>
    <n v="2"/>
    <x v="0"/>
    <s v="Moderate"/>
    <x v="1"/>
    <x v="598"/>
    <x v="0"/>
    <x v="8"/>
    <x v="3"/>
    <x v="1"/>
    <x v="1"/>
  </r>
  <r>
    <n v="36"/>
    <x v="2"/>
    <x v="0"/>
    <n v="2"/>
    <x v="0"/>
    <s v="Quite Rich"/>
    <x v="2"/>
    <x v="599"/>
    <x v="2"/>
    <x v="3"/>
    <x v="2"/>
    <x v="0"/>
    <x v="0"/>
  </r>
  <r>
    <n v="64"/>
    <x v="0"/>
    <x v="0"/>
    <n v="1"/>
    <x v="0"/>
    <s v="No Account"/>
    <x v="2"/>
    <x v="78"/>
    <x v="2"/>
    <x v="8"/>
    <x v="1"/>
    <x v="0"/>
    <x v="0"/>
  </r>
  <r>
    <n v="28"/>
    <x v="1"/>
    <x v="1"/>
    <n v="2"/>
    <x v="0"/>
    <s v="Little"/>
    <x v="0"/>
    <x v="600"/>
    <x v="2"/>
    <x v="4"/>
    <x v="0"/>
    <x v="0"/>
    <x v="0"/>
  </r>
  <r>
    <n v="44"/>
    <x v="2"/>
    <x v="0"/>
    <n v="2"/>
    <x v="0"/>
    <s v="Little"/>
    <x v="0"/>
    <x v="541"/>
    <x v="0"/>
    <x v="12"/>
    <x v="2"/>
    <x v="1"/>
    <x v="1"/>
  </r>
  <r>
    <n v="23"/>
    <x v="1"/>
    <x v="0"/>
    <n v="2"/>
    <x v="0"/>
    <s v="No Account"/>
    <x v="1"/>
    <x v="601"/>
    <x v="0"/>
    <x v="7"/>
    <x v="0"/>
    <x v="0"/>
    <x v="0"/>
  </r>
  <r>
    <n v="19"/>
    <x v="1"/>
    <x v="1"/>
    <n v="2"/>
    <x v="2"/>
    <s v="Little"/>
    <x v="2"/>
    <x v="602"/>
    <x v="0"/>
    <x v="8"/>
    <x v="2"/>
    <x v="1"/>
    <x v="1"/>
  </r>
  <r>
    <n v="25"/>
    <x v="1"/>
    <x v="1"/>
    <n v="1"/>
    <x v="0"/>
    <s v="Little"/>
    <x v="1"/>
    <x v="603"/>
    <x v="0"/>
    <x v="4"/>
    <x v="3"/>
    <x v="1"/>
    <x v="1"/>
  </r>
  <r>
    <n v="47"/>
    <x v="2"/>
    <x v="0"/>
    <n v="2"/>
    <x v="0"/>
    <s v="Little"/>
    <x v="2"/>
    <x v="45"/>
    <x v="0"/>
    <x v="2"/>
    <x v="1"/>
    <x v="0"/>
    <x v="0"/>
  </r>
  <r>
    <n v="28"/>
    <x v="1"/>
    <x v="1"/>
    <n v="2"/>
    <x v="0"/>
    <s v="Quite Rich"/>
    <x v="2"/>
    <x v="604"/>
    <x v="0"/>
    <x v="4"/>
    <x v="0"/>
    <x v="0"/>
    <x v="0"/>
  </r>
  <r>
    <n v="21"/>
    <x v="1"/>
    <x v="0"/>
    <n v="2"/>
    <x v="0"/>
    <s v="Little"/>
    <x v="2"/>
    <x v="605"/>
    <x v="1"/>
    <x v="11"/>
    <x v="0"/>
    <x v="0"/>
    <x v="0"/>
  </r>
  <r>
    <n v="34"/>
    <x v="2"/>
    <x v="1"/>
    <n v="2"/>
    <x v="0"/>
    <s v="Little"/>
    <x v="2"/>
    <x v="606"/>
    <x v="0"/>
    <x v="2"/>
    <x v="0"/>
    <x v="0"/>
    <x v="0"/>
  </r>
  <r>
    <n v="26"/>
    <x v="1"/>
    <x v="0"/>
    <n v="2"/>
    <x v="0"/>
    <s v="Little"/>
    <x v="0"/>
    <x v="607"/>
    <x v="2"/>
    <x v="3"/>
    <x v="0"/>
    <x v="1"/>
    <x v="1"/>
  </r>
  <r>
    <n v="27"/>
    <x v="1"/>
    <x v="1"/>
    <n v="0"/>
    <x v="0"/>
    <s v="Little"/>
    <x v="0"/>
    <x v="608"/>
    <x v="0"/>
    <x v="12"/>
    <x v="1"/>
    <x v="1"/>
    <x v="1"/>
  </r>
  <r>
    <n v="38"/>
    <x v="2"/>
    <x v="0"/>
    <n v="1"/>
    <x v="0"/>
    <s v="Little"/>
    <x v="1"/>
    <x v="609"/>
    <x v="0"/>
    <x v="7"/>
    <x v="6"/>
    <x v="0"/>
    <x v="0"/>
  </r>
  <r>
    <n v="40"/>
    <x v="2"/>
    <x v="0"/>
    <n v="3"/>
    <x v="0"/>
    <s v="Moderate"/>
    <x v="2"/>
    <x v="610"/>
    <x v="2"/>
    <x v="7"/>
    <x v="1"/>
    <x v="1"/>
    <x v="1"/>
  </r>
  <r>
    <n v="33"/>
    <x v="2"/>
    <x v="0"/>
    <n v="2"/>
    <x v="0"/>
    <s v="Little"/>
    <x v="2"/>
    <x v="611"/>
    <x v="0"/>
    <x v="4"/>
    <x v="0"/>
    <x v="0"/>
    <x v="0"/>
  </r>
  <r>
    <n v="32"/>
    <x v="2"/>
    <x v="0"/>
    <n v="3"/>
    <x v="0"/>
    <s v="Little"/>
    <x v="0"/>
    <x v="612"/>
    <x v="0"/>
    <x v="12"/>
    <x v="0"/>
    <x v="0"/>
    <x v="0"/>
  </r>
  <r>
    <n v="27"/>
    <x v="1"/>
    <x v="0"/>
    <n v="2"/>
    <x v="2"/>
    <s v="No Account"/>
    <x v="2"/>
    <x v="613"/>
    <x v="1"/>
    <x v="5"/>
    <x v="4"/>
    <x v="1"/>
    <x v="1"/>
  </r>
  <r>
    <n v="32"/>
    <x v="2"/>
    <x v="0"/>
    <n v="2"/>
    <x v="0"/>
    <s v="Little"/>
    <x v="0"/>
    <x v="614"/>
    <x v="2"/>
    <x v="6"/>
    <x v="2"/>
    <x v="0"/>
    <x v="0"/>
  </r>
  <r>
    <n v="26"/>
    <x v="1"/>
    <x v="1"/>
    <n v="2"/>
    <x v="0"/>
    <s v="Quite Rich"/>
    <x v="2"/>
    <x v="615"/>
    <x v="0"/>
    <x v="2"/>
    <x v="3"/>
    <x v="1"/>
    <x v="1"/>
  </r>
  <r>
    <n v="38"/>
    <x v="2"/>
    <x v="0"/>
    <n v="2"/>
    <x v="1"/>
    <s v="Little"/>
    <x v="3"/>
    <x v="616"/>
    <x v="0"/>
    <x v="4"/>
    <x v="3"/>
    <x v="1"/>
    <x v="1"/>
  </r>
  <r>
    <n v="40"/>
    <x v="2"/>
    <x v="0"/>
    <n v="1"/>
    <x v="2"/>
    <s v="Little"/>
    <x v="0"/>
    <x v="617"/>
    <x v="0"/>
    <x v="2"/>
    <x v="1"/>
    <x v="1"/>
    <x v="1"/>
  </r>
  <r>
    <n v="50"/>
    <x v="0"/>
    <x v="0"/>
    <n v="3"/>
    <x v="1"/>
    <s v="Little"/>
    <x v="0"/>
    <x v="618"/>
    <x v="1"/>
    <x v="1"/>
    <x v="1"/>
    <x v="0"/>
    <x v="0"/>
  </r>
  <r>
    <n v="37"/>
    <x v="2"/>
    <x v="0"/>
    <n v="1"/>
    <x v="0"/>
    <s v="Little"/>
    <x v="1"/>
    <x v="619"/>
    <x v="0"/>
    <x v="2"/>
    <x v="2"/>
    <x v="1"/>
    <x v="1"/>
  </r>
  <r>
    <n v="45"/>
    <x v="2"/>
    <x v="0"/>
    <n v="2"/>
    <x v="0"/>
    <s v="Little"/>
    <x v="0"/>
    <x v="620"/>
    <x v="2"/>
    <x v="4"/>
    <x v="3"/>
    <x v="1"/>
    <x v="1"/>
  </r>
  <r>
    <n v="42"/>
    <x v="2"/>
    <x v="0"/>
    <n v="3"/>
    <x v="0"/>
    <s v="Moderate"/>
    <x v="1"/>
    <x v="621"/>
    <x v="1"/>
    <x v="5"/>
    <x v="3"/>
    <x v="1"/>
    <x v="1"/>
  </r>
  <r>
    <n v="35"/>
    <x v="2"/>
    <x v="0"/>
    <n v="2"/>
    <x v="0"/>
    <s v="Little"/>
    <x v="2"/>
    <x v="622"/>
    <x v="2"/>
    <x v="4"/>
    <x v="3"/>
    <x v="0"/>
    <x v="0"/>
  </r>
  <r>
    <n v="22"/>
    <x v="1"/>
    <x v="0"/>
    <n v="2"/>
    <x v="1"/>
    <s v="Little"/>
    <x v="0"/>
    <x v="623"/>
    <x v="2"/>
    <x v="19"/>
    <x v="3"/>
    <x v="0"/>
    <x v="0"/>
  </r>
  <r>
    <n v="41"/>
    <x v="2"/>
    <x v="0"/>
    <n v="1"/>
    <x v="0"/>
    <s v="Little"/>
    <x v="1"/>
    <x v="624"/>
    <x v="0"/>
    <x v="2"/>
    <x v="3"/>
    <x v="1"/>
    <x v="1"/>
  </r>
  <r>
    <n v="37"/>
    <x v="2"/>
    <x v="0"/>
    <n v="2"/>
    <x v="0"/>
    <s v="No Account"/>
    <x v="2"/>
    <x v="625"/>
    <x v="1"/>
    <x v="1"/>
    <x v="0"/>
    <x v="0"/>
    <x v="0"/>
  </r>
  <r>
    <n v="28"/>
    <x v="1"/>
    <x v="1"/>
    <n v="2"/>
    <x v="0"/>
    <s v="Little"/>
    <x v="1"/>
    <x v="626"/>
    <x v="2"/>
    <x v="6"/>
    <x v="4"/>
    <x v="0"/>
    <x v="0"/>
  </r>
  <r>
    <n v="41"/>
    <x v="2"/>
    <x v="0"/>
    <n v="2"/>
    <x v="0"/>
    <s v="Little"/>
    <x v="1"/>
    <x v="627"/>
    <x v="1"/>
    <x v="12"/>
    <x v="2"/>
    <x v="0"/>
    <x v="0"/>
  </r>
  <r>
    <n v="23"/>
    <x v="1"/>
    <x v="0"/>
    <n v="2"/>
    <x v="2"/>
    <s v="Little"/>
    <x v="3"/>
    <x v="628"/>
    <x v="0"/>
    <x v="2"/>
    <x v="0"/>
    <x v="0"/>
    <x v="0"/>
  </r>
  <r>
    <n v="23"/>
    <x v="1"/>
    <x v="0"/>
    <n v="2"/>
    <x v="0"/>
    <s v="No Account"/>
    <x v="0"/>
    <x v="629"/>
    <x v="0"/>
    <x v="2"/>
    <x v="3"/>
    <x v="1"/>
    <x v="1"/>
  </r>
  <r>
    <n v="50"/>
    <x v="0"/>
    <x v="0"/>
    <n v="2"/>
    <x v="0"/>
    <s v="Little"/>
    <x v="2"/>
    <x v="22"/>
    <x v="2"/>
    <x v="21"/>
    <x v="2"/>
    <x v="0"/>
    <x v="0"/>
  </r>
  <r>
    <n v="35"/>
    <x v="2"/>
    <x v="0"/>
    <n v="3"/>
    <x v="0"/>
    <s v="Little"/>
    <x v="1"/>
    <x v="630"/>
    <x v="0"/>
    <x v="0"/>
    <x v="2"/>
    <x v="0"/>
    <x v="0"/>
  </r>
  <r>
    <n v="50"/>
    <x v="0"/>
    <x v="1"/>
    <n v="1"/>
    <x v="0"/>
    <s v="Little"/>
    <x v="3"/>
    <x v="631"/>
    <x v="0"/>
    <x v="0"/>
    <x v="1"/>
    <x v="0"/>
    <x v="0"/>
  </r>
  <r>
    <n v="27"/>
    <x v="1"/>
    <x v="0"/>
    <n v="3"/>
    <x v="0"/>
    <s v="Little"/>
    <x v="2"/>
    <x v="632"/>
    <x v="1"/>
    <x v="4"/>
    <x v="7"/>
    <x v="0"/>
    <x v="0"/>
  </r>
  <r>
    <n v="34"/>
    <x v="2"/>
    <x v="0"/>
    <n v="2"/>
    <x v="0"/>
    <s v="Rich"/>
    <x v="1"/>
    <x v="633"/>
    <x v="2"/>
    <x v="6"/>
    <x v="2"/>
    <x v="0"/>
    <x v="0"/>
  </r>
  <r>
    <n v="27"/>
    <x v="1"/>
    <x v="1"/>
    <n v="2"/>
    <x v="0"/>
    <s v="Little"/>
    <x v="2"/>
    <x v="634"/>
    <x v="2"/>
    <x v="1"/>
    <x v="4"/>
    <x v="0"/>
    <x v="0"/>
  </r>
  <r>
    <n v="43"/>
    <x v="2"/>
    <x v="0"/>
    <n v="2"/>
    <x v="2"/>
    <s v="Little"/>
    <x v="0"/>
    <x v="635"/>
    <x v="2"/>
    <x v="2"/>
    <x v="3"/>
    <x v="1"/>
    <x v="1"/>
  </r>
  <r>
    <n v="47"/>
    <x v="2"/>
    <x v="0"/>
    <n v="2"/>
    <x v="0"/>
    <s v="Little"/>
    <x v="3"/>
    <x v="446"/>
    <x v="2"/>
    <x v="6"/>
    <x v="0"/>
    <x v="0"/>
    <x v="0"/>
  </r>
  <r>
    <n v="27"/>
    <x v="1"/>
    <x v="0"/>
    <n v="1"/>
    <x v="0"/>
    <s v="Moderate"/>
    <x v="2"/>
    <x v="636"/>
    <x v="2"/>
    <x v="4"/>
    <x v="4"/>
    <x v="0"/>
    <x v="0"/>
  </r>
  <r>
    <n v="31"/>
    <x v="2"/>
    <x v="0"/>
    <n v="2"/>
    <x v="0"/>
    <s v="Moderate"/>
    <x v="2"/>
    <x v="637"/>
    <x v="1"/>
    <x v="5"/>
    <x v="4"/>
    <x v="0"/>
    <x v="0"/>
  </r>
  <r>
    <n v="42"/>
    <x v="2"/>
    <x v="0"/>
    <n v="3"/>
    <x v="0"/>
    <s v="Little"/>
    <x v="2"/>
    <x v="638"/>
    <x v="1"/>
    <x v="11"/>
    <x v="3"/>
    <x v="0"/>
    <x v="0"/>
  </r>
  <r>
    <n v="24"/>
    <x v="1"/>
    <x v="0"/>
    <n v="2"/>
    <x v="0"/>
    <s v="Quite Rich"/>
    <x v="2"/>
    <x v="639"/>
    <x v="2"/>
    <x v="0"/>
    <x v="3"/>
    <x v="0"/>
    <x v="0"/>
  </r>
  <r>
    <n v="41"/>
    <x v="2"/>
    <x v="0"/>
    <n v="1"/>
    <x v="0"/>
    <s v="Quite Rich"/>
    <x v="2"/>
    <x v="640"/>
    <x v="2"/>
    <x v="21"/>
    <x v="4"/>
    <x v="1"/>
    <x v="1"/>
  </r>
  <r>
    <n v="26"/>
    <x v="1"/>
    <x v="1"/>
    <n v="3"/>
    <x v="2"/>
    <s v="Little"/>
    <x v="2"/>
    <x v="641"/>
    <x v="2"/>
    <x v="6"/>
    <x v="0"/>
    <x v="0"/>
    <x v="0"/>
  </r>
  <r>
    <n v="33"/>
    <x v="2"/>
    <x v="0"/>
    <n v="2"/>
    <x v="0"/>
    <s v="Little"/>
    <x v="2"/>
    <x v="642"/>
    <x v="1"/>
    <x v="4"/>
    <x v="2"/>
    <x v="0"/>
    <x v="0"/>
  </r>
  <r>
    <n v="24"/>
    <x v="1"/>
    <x v="0"/>
    <n v="2"/>
    <x v="0"/>
    <s v="Moderate"/>
    <x v="1"/>
    <x v="643"/>
    <x v="1"/>
    <x v="31"/>
    <x v="0"/>
    <x v="1"/>
    <x v="1"/>
  </r>
  <r>
    <n v="64"/>
    <x v="0"/>
    <x v="0"/>
    <n v="1"/>
    <x v="2"/>
    <s v="Little"/>
    <x v="0"/>
    <x v="557"/>
    <x v="2"/>
    <x v="4"/>
    <x v="0"/>
    <x v="0"/>
    <x v="0"/>
  </r>
  <r>
    <n v="26"/>
    <x v="1"/>
    <x v="1"/>
    <n v="2"/>
    <x v="0"/>
    <s v="Little"/>
    <x v="2"/>
    <x v="644"/>
    <x v="0"/>
    <x v="12"/>
    <x v="0"/>
    <x v="0"/>
    <x v="0"/>
  </r>
  <r>
    <n v="56"/>
    <x v="0"/>
    <x v="1"/>
    <n v="2"/>
    <x v="0"/>
    <s v="Little"/>
    <x v="2"/>
    <x v="645"/>
    <x v="0"/>
    <x v="0"/>
    <x v="1"/>
    <x v="0"/>
    <x v="0"/>
  </r>
  <r>
    <n v="37"/>
    <x v="2"/>
    <x v="0"/>
    <n v="2"/>
    <x v="1"/>
    <s v="No Account"/>
    <x v="2"/>
    <x v="646"/>
    <x v="2"/>
    <x v="2"/>
    <x v="0"/>
    <x v="0"/>
    <x v="0"/>
  </r>
  <r>
    <n v="33"/>
    <x v="2"/>
    <x v="0"/>
    <n v="2"/>
    <x v="0"/>
    <s v="Little"/>
    <x v="2"/>
    <x v="220"/>
    <x v="0"/>
    <x v="7"/>
    <x v="0"/>
    <x v="0"/>
    <x v="0"/>
  </r>
  <r>
    <n v="47"/>
    <x v="2"/>
    <x v="0"/>
    <n v="2"/>
    <x v="1"/>
    <s v="Little"/>
    <x v="2"/>
    <x v="647"/>
    <x v="1"/>
    <x v="4"/>
    <x v="0"/>
    <x v="0"/>
    <x v="0"/>
  </r>
  <r>
    <n v="31"/>
    <x v="2"/>
    <x v="0"/>
    <n v="1"/>
    <x v="0"/>
    <s v="Moderate"/>
    <x v="1"/>
    <x v="648"/>
    <x v="1"/>
    <x v="5"/>
    <x v="4"/>
    <x v="0"/>
    <x v="0"/>
  </r>
  <r>
    <n v="34"/>
    <x v="2"/>
    <x v="0"/>
    <n v="2"/>
    <x v="1"/>
    <s v="No Account"/>
    <x v="2"/>
    <x v="649"/>
    <x v="1"/>
    <x v="11"/>
    <x v="3"/>
    <x v="0"/>
    <x v="0"/>
  </r>
  <r>
    <n v="27"/>
    <x v="1"/>
    <x v="0"/>
    <n v="2"/>
    <x v="0"/>
    <s v="No Account"/>
    <x v="3"/>
    <x v="650"/>
    <x v="0"/>
    <x v="9"/>
    <x v="0"/>
    <x v="0"/>
    <x v="0"/>
  </r>
  <r>
    <n v="30"/>
    <x v="2"/>
    <x v="0"/>
    <n v="2"/>
    <x v="1"/>
    <s v="Moderate"/>
    <x v="1"/>
    <x v="651"/>
    <x v="2"/>
    <x v="5"/>
    <x v="3"/>
    <x v="0"/>
    <x v="0"/>
  </r>
  <r>
    <n v="35"/>
    <x v="2"/>
    <x v="0"/>
    <n v="2"/>
    <x v="0"/>
    <s v="Moderate"/>
    <x v="2"/>
    <x v="652"/>
    <x v="2"/>
    <x v="8"/>
    <x v="0"/>
    <x v="0"/>
    <x v="0"/>
  </r>
  <r>
    <n v="31"/>
    <x v="2"/>
    <x v="0"/>
    <n v="2"/>
    <x v="0"/>
    <s v="Rich"/>
    <x v="0"/>
    <x v="653"/>
    <x v="2"/>
    <x v="2"/>
    <x v="3"/>
    <x v="0"/>
    <x v="0"/>
  </r>
  <r>
    <n v="25"/>
    <x v="1"/>
    <x v="0"/>
    <n v="2"/>
    <x v="0"/>
    <s v="Little"/>
    <x v="0"/>
    <x v="654"/>
    <x v="0"/>
    <x v="7"/>
    <x v="2"/>
    <x v="0"/>
    <x v="0"/>
  </r>
  <r>
    <n v="25"/>
    <x v="1"/>
    <x v="1"/>
    <n v="1"/>
    <x v="0"/>
    <s v="Moderate"/>
    <x v="1"/>
    <x v="510"/>
    <x v="2"/>
    <x v="7"/>
    <x v="6"/>
    <x v="0"/>
    <x v="0"/>
  </r>
  <r>
    <n v="29"/>
    <x v="1"/>
    <x v="0"/>
    <n v="2"/>
    <x v="0"/>
    <s v="Moderate"/>
    <x v="1"/>
    <x v="655"/>
    <x v="2"/>
    <x v="4"/>
    <x v="0"/>
    <x v="0"/>
    <x v="0"/>
  </r>
  <r>
    <n v="44"/>
    <x v="2"/>
    <x v="0"/>
    <n v="1"/>
    <x v="0"/>
    <s v="No Account"/>
    <x v="0"/>
    <x v="656"/>
    <x v="2"/>
    <x v="0"/>
    <x v="3"/>
    <x v="0"/>
    <x v="0"/>
  </r>
  <r>
    <n v="28"/>
    <x v="1"/>
    <x v="0"/>
    <n v="2"/>
    <x v="0"/>
    <s v="Little"/>
    <x v="2"/>
    <x v="657"/>
    <x v="2"/>
    <x v="4"/>
    <x v="0"/>
    <x v="0"/>
    <x v="0"/>
  </r>
  <r>
    <n v="50"/>
    <x v="0"/>
    <x v="0"/>
    <n v="2"/>
    <x v="2"/>
    <s v="Quite Rich"/>
    <x v="2"/>
    <x v="340"/>
    <x v="0"/>
    <x v="0"/>
    <x v="3"/>
    <x v="0"/>
    <x v="0"/>
  </r>
  <r>
    <n v="29"/>
    <x v="1"/>
    <x v="0"/>
    <n v="2"/>
    <x v="0"/>
    <s v="Little"/>
    <x v="1"/>
    <x v="658"/>
    <x v="0"/>
    <x v="2"/>
    <x v="0"/>
    <x v="0"/>
    <x v="0"/>
  </r>
  <r>
    <n v="38"/>
    <x v="2"/>
    <x v="1"/>
    <n v="0"/>
    <x v="0"/>
    <s v="Little"/>
    <x v="2"/>
    <x v="659"/>
    <x v="0"/>
    <x v="2"/>
    <x v="3"/>
    <x v="0"/>
    <x v="0"/>
  </r>
  <r>
    <n v="24"/>
    <x v="1"/>
    <x v="0"/>
    <n v="2"/>
    <x v="0"/>
    <s v="Little"/>
    <x v="2"/>
    <x v="660"/>
    <x v="0"/>
    <x v="12"/>
    <x v="0"/>
    <x v="0"/>
    <x v="0"/>
  </r>
  <r>
    <n v="40"/>
    <x v="2"/>
    <x v="0"/>
    <n v="3"/>
    <x v="2"/>
    <s v="Little"/>
    <x v="3"/>
    <x v="661"/>
    <x v="0"/>
    <x v="7"/>
    <x v="1"/>
    <x v="0"/>
    <x v="0"/>
  </r>
  <r>
    <n v="29"/>
    <x v="1"/>
    <x v="1"/>
    <n v="1"/>
    <x v="2"/>
    <s v="Quite Rich"/>
    <x v="2"/>
    <x v="662"/>
    <x v="0"/>
    <x v="2"/>
    <x v="2"/>
    <x v="1"/>
    <x v="1"/>
  </r>
  <r>
    <n v="46"/>
    <x v="2"/>
    <x v="0"/>
    <n v="2"/>
    <x v="1"/>
    <s v="Little"/>
    <x v="0"/>
    <x v="663"/>
    <x v="1"/>
    <x v="1"/>
    <x v="3"/>
    <x v="1"/>
    <x v="1"/>
  </r>
  <r>
    <n v="47"/>
    <x v="2"/>
    <x v="1"/>
    <n v="2"/>
    <x v="1"/>
    <s v="Moderate"/>
    <x v="3"/>
    <x v="664"/>
    <x v="0"/>
    <x v="4"/>
    <x v="0"/>
    <x v="0"/>
    <x v="0"/>
  </r>
  <r>
    <n v="41"/>
    <x v="2"/>
    <x v="0"/>
    <n v="2"/>
    <x v="0"/>
    <s v="Moderate"/>
    <x v="1"/>
    <x v="665"/>
    <x v="2"/>
    <x v="6"/>
    <x v="4"/>
    <x v="0"/>
    <x v="0"/>
  </r>
  <r>
    <n v="32"/>
    <x v="2"/>
    <x v="1"/>
    <n v="2"/>
    <x v="0"/>
    <s v="Little"/>
    <x v="1"/>
    <x v="666"/>
    <x v="2"/>
    <x v="15"/>
    <x v="4"/>
    <x v="0"/>
    <x v="0"/>
  </r>
  <r>
    <n v="35"/>
    <x v="2"/>
    <x v="1"/>
    <n v="2"/>
    <x v="1"/>
    <s v="Quite Rich"/>
    <x v="2"/>
    <x v="667"/>
    <x v="1"/>
    <x v="7"/>
    <x v="3"/>
    <x v="0"/>
    <x v="0"/>
  </r>
  <r>
    <n v="24"/>
    <x v="1"/>
    <x v="0"/>
    <n v="2"/>
    <x v="0"/>
    <s v="Moderate"/>
    <x v="1"/>
    <x v="668"/>
    <x v="1"/>
    <x v="1"/>
    <x v="3"/>
    <x v="1"/>
    <x v="1"/>
  </r>
  <r>
    <n v="25"/>
    <x v="1"/>
    <x v="1"/>
    <n v="2"/>
    <x v="2"/>
    <s v="Little"/>
    <x v="1"/>
    <x v="669"/>
    <x v="2"/>
    <x v="2"/>
    <x v="2"/>
    <x v="1"/>
    <x v="1"/>
  </r>
  <r>
    <n v="25"/>
    <x v="1"/>
    <x v="1"/>
    <n v="2"/>
    <x v="0"/>
    <s v="Little"/>
    <x v="1"/>
    <x v="670"/>
    <x v="0"/>
    <x v="8"/>
    <x v="0"/>
    <x v="0"/>
    <x v="0"/>
  </r>
  <r>
    <n v="37"/>
    <x v="2"/>
    <x v="0"/>
    <n v="1"/>
    <x v="0"/>
    <s v="Little"/>
    <x v="1"/>
    <x v="671"/>
    <x v="2"/>
    <x v="8"/>
    <x v="0"/>
    <x v="0"/>
    <x v="0"/>
  </r>
  <r>
    <n v="32"/>
    <x v="2"/>
    <x v="0"/>
    <n v="3"/>
    <x v="0"/>
    <s v="Quite Rich"/>
    <x v="2"/>
    <x v="672"/>
    <x v="0"/>
    <x v="12"/>
    <x v="0"/>
    <x v="0"/>
    <x v="0"/>
  </r>
  <r>
    <n v="35"/>
    <x v="2"/>
    <x v="1"/>
    <n v="2"/>
    <x v="1"/>
    <s v="Little"/>
    <x v="0"/>
    <x v="673"/>
    <x v="0"/>
    <x v="0"/>
    <x v="1"/>
    <x v="1"/>
    <x v="1"/>
  </r>
  <r>
    <n v="46"/>
    <x v="2"/>
    <x v="0"/>
    <n v="3"/>
    <x v="0"/>
    <s v="No Account"/>
    <x v="2"/>
    <x v="674"/>
    <x v="2"/>
    <x v="21"/>
    <x v="3"/>
    <x v="0"/>
    <x v="0"/>
  </r>
  <r>
    <n v="25"/>
    <x v="1"/>
    <x v="0"/>
    <n v="1"/>
    <x v="0"/>
    <s v="Little"/>
    <x v="0"/>
    <x v="675"/>
    <x v="0"/>
    <x v="8"/>
    <x v="0"/>
    <x v="0"/>
    <x v="0"/>
  </r>
  <r>
    <n v="27"/>
    <x v="1"/>
    <x v="0"/>
    <n v="3"/>
    <x v="0"/>
    <s v="Little"/>
    <x v="1"/>
    <x v="676"/>
    <x v="1"/>
    <x v="11"/>
    <x v="3"/>
    <x v="1"/>
    <x v="1"/>
  </r>
  <r>
    <n v="63"/>
    <x v="0"/>
    <x v="0"/>
    <n v="2"/>
    <x v="0"/>
    <s v="No Account"/>
    <x v="2"/>
    <x v="677"/>
    <x v="1"/>
    <x v="6"/>
    <x v="3"/>
    <x v="0"/>
    <x v="0"/>
  </r>
  <r>
    <n v="40"/>
    <x v="2"/>
    <x v="0"/>
    <n v="2"/>
    <x v="0"/>
    <s v="No Account"/>
    <x v="2"/>
    <x v="469"/>
    <x v="2"/>
    <x v="6"/>
    <x v="0"/>
    <x v="0"/>
    <x v="0"/>
  </r>
  <r>
    <n v="32"/>
    <x v="2"/>
    <x v="0"/>
    <n v="3"/>
    <x v="1"/>
    <s v="Little"/>
    <x v="2"/>
    <x v="678"/>
    <x v="0"/>
    <x v="12"/>
    <x v="0"/>
    <x v="0"/>
    <x v="0"/>
  </r>
  <r>
    <n v="31"/>
    <x v="2"/>
    <x v="0"/>
    <n v="2"/>
    <x v="0"/>
    <s v="No Account"/>
    <x v="3"/>
    <x v="679"/>
    <x v="2"/>
    <x v="4"/>
    <x v="0"/>
    <x v="0"/>
    <x v="0"/>
  </r>
  <r>
    <n v="31"/>
    <x v="2"/>
    <x v="0"/>
    <n v="2"/>
    <x v="0"/>
    <s v="Moderate"/>
    <x v="1"/>
    <x v="680"/>
    <x v="1"/>
    <x v="18"/>
    <x v="3"/>
    <x v="0"/>
    <x v="0"/>
  </r>
  <r>
    <n v="34"/>
    <x v="2"/>
    <x v="0"/>
    <n v="3"/>
    <x v="0"/>
    <s v="Little"/>
    <x v="3"/>
    <x v="681"/>
    <x v="0"/>
    <x v="8"/>
    <x v="0"/>
    <x v="1"/>
    <x v="1"/>
  </r>
  <r>
    <n v="24"/>
    <x v="1"/>
    <x v="1"/>
    <n v="2"/>
    <x v="2"/>
    <s v="Rich"/>
    <x v="1"/>
    <x v="241"/>
    <x v="0"/>
    <x v="0"/>
    <x v="1"/>
    <x v="1"/>
    <x v="1"/>
  </r>
  <r>
    <n v="24"/>
    <x v="1"/>
    <x v="1"/>
    <n v="1"/>
    <x v="0"/>
    <s v="Little"/>
    <x v="0"/>
    <x v="682"/>
    <x v="0"/>
    <x v="2"/>
    <x v="3"/>
    <x v="1"/>
    <x v="1"/>
  </r>
  <r>
    <n v="66"/>
    <x v="0"/>
    <x v="1"/>
    <n v="1"/>
    <x v="0"/>
    <s v="Quite Rich"/>
    <x v="1"/>
    <x v="683"/>
    <x v="0"/>
    <x v="8"/>
    <x v="0"/>
    <x v="0"/>
    <x v="0"/>
  </r>
  <r>
    <n v="21"/>
    <x v="1"/>
    <x v="1"/>
    <n v="2"/>
    <x v="2"/>
    <s v="Little"/>
    <x v="2"/>
    <x v="684"/>
    <x v="2"/>
    <x v="15"/>
    <x v="3"/>
    <x v="1"/>
    <x v="1"/>
  </r>
  <r>
    <n v="41"/>
    <x v="2"/>
    <x v="1"/>
    <n v="1"/>
    <x v="0"/>
    <s v="Rich"/>
    <x v="2"/>
    <x v="685"/>
    <x v="0"/>
    <x v="0"/>
    <x v="3"/>
    <x v="0"/>
    <x v="0"/>
  </r>
  <r>
    <n v="47"/>
    <x v="2"/>
    <x v="0"/>
    <n v="1"/>
    <x v="0"/>
    <s v="Quite Rich"/>
    <x v="2"/>
    <x v="686"/>
    <x v="0"/>
    <x v="7"/>
    <x v="0"/>
    <x v="0"/>
    <x v="0"/>
  </r>
  <r>
    <n v="25"/>
    <x v="1"/>
    <x v="1"/>
    <n v="2"/>
    <x v="2"/>
    <s v="Little"/>
    <x v="0"/>
    <x v="687"/>
    <x v="0"/>
    <x v="12"/>
    <x v="0"/>
    <x v="1"/>
    <x v="1"/>
  </r>
  <r>
    <n v="59"/>
    <x v="0"/>
    <x v="1"/>
    <n v="2"/>
    <x v="2"/>
    <s v="Little"/>
    <x v="1"/>
    <x v="688"/>
    <x v="1"/>
    <x v="1"/>
    <x v="4"/>
    <x v="1"/>
    <x v="1"/>
  </r>
  <r>
    <n v="36"/>
    <x v="2"/>
    <x v="0"/>
    <n v="2"/>
    <x v="0"/>
    <s v="Rich"/>
    <x v="3"/>
    <x v="327"/>
    <x v="0"/>
    <x v="4"/>
    <x v="4"/>
    <x v="0"/>
    <x v="0"/>
  </r>
  <r>
    <n v="33"/>
    <x v="2"/>
    <x v="0"/>
    <n v="2"/>
    <x v="0"/>
    <s v="Little"/>
    <x v="1"/>
    <x v="689"/>
    <x v="1"/>
    <x v="4"/>
    <x v="0"/>
    <x v="0"/>
    <x v="0"/>
  </r>
  <r>
    <n v="21"/>
    <x v="1"/>
    <x v="0"/>
    <n v="1"/>
    <x v="2"/>
    <s v="Little"/>
    <x v="0"/>
    <x v="690"/>
    <x v="0"/>
    <x v="4"/>
    <x v="0"/>
    <x v="1"/>
    <x v="1"/>
  </r>
  <r>
    <n v="44"/>
    <x v="2"/>
    <x v="1"/>
    <n v="1"/>
    <x v="0"/>
    <s v="Little"/>
    <x v="1"/>
    <x v="691"/>
    <x v="0"/>
    <x v="16"/>
    <x v="0"/>
    <x v="0"/>
    <x v="0"/>
  </r>
  <r>
    <n v="28"/>
    <x v="1"/>
    <x v="1"/>
    <n v="2"/>
    <x v="2"/>
    <s v="Rich"/>
    <x v="2"/>
    <x v="692"/>
    <x v="2"/>
    <x v="4"/>
    <x v="3"/>
    <x v="0"/>
    <x v="0"/>
  </r>
  <r>
    <n v="37"/>
    <x v="2"/>
    <x v="1"/>
    <n v="2"/>
    <x v="0"/>
    <s v="Little"/>
    <x v="2"/>
    <x v="693"/>
    <x v="2"/>
    <x v="23"/>
    <x v="3"/>
    <x v="0"/>
    <x v="0"/>
  </r>
  <r>
    <n v="29"/>
    <x v="1"/>
    <x v="1"/>
    <n v="0"/>
    <x v="0"/>
    <s v="No Account"/>
    <x v="1"/>
    <x v="694"/>
    <x v="2"/>
    <x v="5"/>
    <x v="5"/>
    <x v="0"/>
    <x v="0"/>
  </r>
  <r>
    <n v="23"/>
    <x v="1"/>
    <x v="1"/>
    <n v="3"/>
    <x v="2"/>
    <s v="Little"/>
    <x v="1"/>
    <x v="695"/>
    <x v="1"/>
    <x v="4"/>
    <x v="3"/>
    <x v="1"/>
    <x v="1"/>
  </r>
  <r>
    <n v="35"/>
    <x v="2"/>
    <x v="0"/>
    <n v="1"/>
    <x v="0"/>
    <s v="Moderate"/>
    <x v="0"/>
    <x v="696"/>
    <x v="2"/>
    <x v="12"/>
    <x v="3"/>
    <x v="0"/>
    <x v="0"/>
  </r>
  <r>
    <n v="45"/>
    <x v="2"/>
    <x v="0"/>
    <n v="3"/>
    <x v="0"/>
    <s v="Little"/>
    <x v="2"/>
    <x v="697"/>
    <x v="1"/>
    <x v="0"/>
    <x v="3"/>
    <x v="0"/>
    <x v="0"/>
  </r>
  <r>
    <n v="26"/>
    <x v="1"/>
    <x v="1"/>
    <n v="1"/>
    <x v="2"/>
    <s v="Moderate"/>
    <x v="1"/>
    <x v="698"/>
    <x v="2"/>
    <x v="6"/>
    <x v="4"/>
    <x v="1"/>
    <x v="1"/>
  </r>
  <r>
    <n v="32"/>
    <x v="2"/>
    <x v="0"/>
    <n v="2"/>
    <x v="0"/>
    <s v="Moderate"/>
    <x v="0"/>
    <x v="699"/>
    <x v="2"/>
    <x v="4"/>
    <x v="3"/>
    <x v="0"/>
    <x v="0"/>
  </r>
  <r>
    <n v="23"/>
    <x v="1"/>
    <x v="0"/>
    <n v="1"/>
    <x v="0"/>
    <s v="Little"/>
    <x v="1"/>
    <x v="700"/>
    <x v="0"/>
    <x v="9"/>
    <x v="0"/>
    <x v="0"/>
    <x v="0"/>
  </r>
  <r>
    <n v="41"/>
    <x v="2"/>
    <x v="0"/>
    <n v="2"/>
    <x v="0"/>
    <s v="No Account"/>
    <x v="2"/>
    <x v="701"/>
    <x v="2"/>
    <x v="21"/>
    <x v="0"/>
    <x v="0"/>
    <x v="0"/>
  </r>
  <r>
    <n v="22"/>
    <x v="1"/>
    <x v="0"/>
    <n v="2"/>
    <x v="0"/>
    <s v="Quite Rich"/>
    <x v="0"/>
    <x v="702"/>
    <x v="2"/>
    <x v="4"/>
    <x v="2"/>
    <x v="0"/>
    <x v="0"/>
  </r>
  <r>
    <n v="30"/>
    <x v="2"/>
    <x v="0"/>
    <n v="3"/>
    <x v="0"/>
    <s v="No Account"/>
    <x v="0"/>
    <x v="703"/>
    <x v="1"/>
    <x v="27"/>
    <x v="2"/>
    <x v="0"/>
    <x v="0"/>
  </r>
  <r>
    <n v="28"/>
    <x v="1"/>
    <x v="0"/>
    <n v="1"/>
    <x v="0"/>
    <s v="Little"/>
    <x v="0"/>
    <x v="704"/>
    <x v="0"/>
    <x v="25"/>
    <x v="4"/>
    <x v="0"/>
    <x v="0"/>
  </r>
  <r>
    <n v="23"/>
    <x v="1"/>
    <x v="1"/>
    <n v="2"/>
    <x v="2"/>
    <s v="Little"/>
    <x v="0"/>
    <x v="705"/>
    <x v="2"/>
    <x v="7"/>
    <x v="3"/>
    <x v="0"/>
    <x v="0"/>
  </r>
  <r>
    <n v="37"/>
    <x v="2"/>
    <x v="1"/>
    <n v="1"/>
    <x v="0"/>
    <s v="Little"/>
    <x v="0"/>
    <x v="706"/>
    <x v="0"/>
    <x v="2"/>
    <x v="3"/>
    <x v="1"/>
    <x v="1"/>
  </r>
  <r>
    <n v="26"/>
    <x v="1"/>
    <x v="0"/>
    <n v="2"/>
    <x v="0"/>
    <s v="No Account"/>
    <x v="2"/>
    <x v="707"/>
    <x v="1"/>
    <x v="21"/>
    <x v="3"/>
    <x v="0"/>
    <x v="0"/>
  </r>
  <r>
    <n v="33"/>
    <x v="2"/>
    <x v="0"/>
    <n v="2"/>
    <x v="0"/>
    <s v="Little"/>
    <x v="2"/>
    <x v="708"/>
    <x v="2"/>
    <x v="7"/>
    <x v="3"/>
    <x v="0"/>
    <x v="0"/>
  </r>
  <r>
    <n v="49"/>
    <x v="2"/>
    <x v="1"/>
    <n v="2"/>
    <x v="0"/>
    <s v="Little"/>
    <x v="0"/>
    <x v="709"/>
    <x v="0"/>
    <x v="0"/>
    <x v="2"/>
    <x v="0"/>
    <x v="0"/>
  </r>
  <r>
    <n v="23"/>
    <x v="1"/>
    <x v="1"/>
    <n v="1"/>
    <x v="0"/>
    <s v="Little"/>
    <x v="0"/>
    <x v="710"/>
    <x v="0"/>
    <x v="12"/>
    <x v="3"/>
    <x v="1"/>
    <x v="1"/>
  </r>
  <r>
    <n v="23"/>
    <x v="1"/>
    <x v="1"/>
    <n v="1"/>
    <x v="2"/>
    <s v="Moderate"/>
    <x v="1"/>
    <x v="711"/>
    <x v="0"/>
    <x v="2"/>
    <x v="4"/>
    <x v="0"/>
    <x v="0"/>
  </r>
  <r>
    <n v="25"/>
    <x v="1"/>
    <x v="1"/>
    <n v="2"/>
    <x v="0"/>
    <s v="Little"/>
    <x v="2"/>
    <x v="712"/>
    <x v="1"/>
    <x v="6"/>
    <x v="0"/>
    <x v="0"/>
    <x v="0"/>
  </r>
  <r>
    <n v="55"/>
    <x v="0"/>
    <x v="0"/>
    <n v="2"/>
    <x v="1"/>
    <s v="Rich"/>
    <x v="2"/>
    <x v="713"/>
    <x v="0"/>
    <x v="2"/>
    <x v="6"/>
    <x v="1"/>
    <x v="1"/>
  </r>
  <r>
    <n v="32"/>
    <x v="2"/>
    <x v="1"/>
    <n v="2"/>
    <x v="2"/>
    <s v="No Account"/>
    <x v="0"/>
    <x v="714"/>
    <x v="0"/>
    <x v="4"/>
    <x v="3"/>
    <x v="1"/>
    <x v="1"/>
  </r>
  <r>
    <n v="74"/>
    <x v="0"/>
    <x v="0"/>
    <n v="0"/>
    <x v="0"/>
    <s v="Little"/>
    <x v="3"/>
    <x v="715"/>
    <x v="0"/>
    <x v="0"/>
    <x v="3"/>
    <x v="0"/>
    <x v="0"/>
  </r>
  <r>
    <n v="39"/>
    <x v="2"/>
    <x v="0"/>
    <n v="2"/>
    <x v="1"/>
    <s v="No Account"/>
    <x v="3"/>
    <x v="716"/>
    <x v="0"/>
    <x v="7"/>
    <x v="0"/>
    <x v="1"/>
    <x v="1"/>
  </r>
  <r>
    <n v="31"/>
    <x v="2"/>
    <x v="0"/>
    <n v="2"/>
    <x v="0"/>
    <s v="Little"/>
    <x v="2"/>
    <x v="45"/>
    <x v="0"/>
    <x v="4"/>
    <x v="3"/>
    <x v="0"/>
    <x v="0"/>
  </r>
  <r>
    <n v="35"/>
    <x v="2"/>
    <x v="0"/>
    <n v="2"/>
    <x v="0"/>
    <s v="Little"/>
    <x v="0"/>
    <x v="717"/>
    <x v="0"/>
    <x v="2"/>
    <x v="3"/>
    <x v="1"/>
    <x v="1"/>
  </r>
  <r>
    <n v="59"/>
    <x v="0"/>
    <x v="1"/>
    <n v="2"/>
    <x v="0"/>
    <s v="No Account"/>
    <x v="2"/>
    <x v="718"/>
    <x v="1"/>
    <x v="7"/>
    <x v="3"/>
    <x v="0"/>
    <x v="0"/>
  </r>
  <r>
    <n v="24"/>
    <x v="1"/>
    <x v="1"/>
    <n v="2"/>
    <x v="2"/>
    <s v="Little"/>
    <x v="0"/>
    <x v="719"/>
    <x v="2"/>
    <x v="12"/>
    <x v="2"/>
    <x v="1"/>
    <x v="1"/>
  </r>
  <r>
    <n v="24"/>
    <x v="1"/>
    <x v="0"/>
    <n v="1"/>
    <x v="0"/>
    <s v="Little"/>
    <x v="0"/>
    <x v="720"/>
    <x v="2"/>
    <x v="2"/>
    <x v="0"/>
    <x v="0"/>
    <x v="0"/>
  </r>
  <r>
    <n v="30"/>
    <x v="2"/>
    <x v="0"/>
    <n v="3"/>
    <x v="1"/>
    <s v="No Account"/>
    <x v="2"/>
    <x v="721"/>
    <x v="1"/>
    <x v="21"/>
    <x v="3"/>
    <x v="1"/>
    <x v="1"/>
  </r>
  <r>
    <n v="27"/>
    <x v="1"/>
    <x v="0"/>
    <n v="2"/>
    <x v="0"/>
    <s v="Moderate"/>
    <x v="2"/>
    <x v="722"/>
    <x v="2"/>
    <x v="4"/>
    <x v="3"/>
    <x v="0"/>
    <x v="0"/>
  </r>
  <r>
    <n v="40"/>
    <x v="2"/>
    <x v="0"/>
    <n v="1"/>
    <x v="0"/>
    <s v="Little"/>
    <x v="1"/>
    <x v="723"/>
    <x v="0"/>
    <x v="2"/>
    <x v="0"/>
    <x v="0"/>
    <x v="0"/>
  </r>
  <r>
    <n v="31"/>
    <x v="2"/>
    <x v="0"/>
    <n v="1"/>
    <x v="0"/>
    <s v="Little"/>
    <x v="0"/>
    <x v="724"/>
    <x v="2"/>
    <x v="6"/>
    <x v="2"/>
    <x v="1"/>
    <x v="1"/>
  </r>
  <r>
    <n v="31"/>
    <x v="2"/>
    <x v="1"/>
    <n v="2"/>
    <x v="2"/>
    <s v="No Account"/>
    <x v="2"/>
    <x v="725"/>
    <x v="2"/>
    <x v="9"/>
    <x v="3"/>
    <x v="0"/>
    <x v="0"/>
  </r>
  <r>
    <n v="28"/>
    <x v="1"/>
    <x v="0"/>
    <n v="2"/>
    <x v="2"/>
    <s v="Little"/>
    <x v="1"/>
    <x v="91"/>
    <x v="2"/>
    <x v="2"/>
    <x v="2"/>
    <x v="0"/>
    <x v="0"/>
  </r>
  <r>
    <n v="63"/>
    <x v="0"/>
    <x v="0"/>
    <n v="1"/>
    <x v="0"/>
    <s v="Little"/>
    <x v="2"/>
    <x v="726"/>
    <x v="0"/>
    <x v="2"/>
    <x v="0"/>
    <x v="0"/>
    <x v="0"/>
  </r>
  <r>
    <n v="26"/>
    <x v="1"/>
    <x v="1"/>
    <n v="2"/>
    <x v="2"/>
    <s v="No Account"/>
    <x v="0"/>
    <x v="727"/>
    <x v="2"/>
    <x v="4"/>
    <x v="3"/>
    <x v="0"/>
    <x v="0"/>
  </r>
  <r>
    <n v="25"/>
    <x v="1"/>
    <x v="1"/>
    <n v="3"/>
    <x v="0"/>
    <s v="Little"/>
    <x v="0"/>
    <x v="728"/>
    <x v="1"/>
    <x v="5"/>
    <x v="1"/>
    <x v="1"/>
    <x v="1"/>
  </r>
  <r>
    <n v="36"/>
    <x v="2"/>
    <x v="0"/>
    <n v="3"/>
    <x v="0"/>
    <s v="Little"/>
    <x v="2"/>
    <x v="729"/>
    <x v="2"/>
    <x v="21"/>
    <x v="3"/>
    <x v="0"/>
    <x v="0"/>
  </r>
  <r>
    <n v="52"/>
    <x v="0"/>
    <x v="0"/>
    <n v="2"/>
    <x v="0"/>
    <s v="Moderate"/>
    <x v="2"/>
    <x v="730"/>
    <x v="2"/>
    <x v="4"/>
    <x v="0"/>
    <x v="0"/>
    <x v="0"/>
  </r>
  <r>
    <n v="66"/>
    <x v="0"/>
    <x v="0"/>
    <n v="0"/>
    <x v="1"/>
    <s v="Quite Rich"/>
    <x v="3"/>
    <x v="731"/>
    <x v="0"/>
    <x v="2"/>
    <x v="3"/>
    <x v="0"/>
    <x v="0"/>
  </r>
  <r>
    <n v="25"/>
    <x v="1"/>
    <x v="1"/>
    <n v="2"/>
    <x v="2"/>
    <s v="No Account"/>
    <x v="0"/>
    <x v="732"/>
    <x v="0"/>
    <x v="4"/>
    <x v="3"/>
    <x v="1"/>
    <x v="1"/>
  </r>
  <r>
    <n v="37"/>
    <x v="2"/>
    <x v="0"/>
    <n v="2"/>
    <x v="0"/>
    <s v="Little"/>
    <x v="2"/>
    <x v="733"/>
    <x v="2"/>
    <x v="5"/>
    <x v="3"/>
    <x v="0"/>
    <x v="0"/>
  </r>
  <r>
    <n v="25"/>
    <x v="1"/>
    <x v="1"/>
    <n v="2"/>
    <x v="0"/>
    <s v="Little"/>
    <x v="0"/>
    <x v="734"/>
    <x v="2"/>
    <x v="12"/>
    <x v="0"/>
    <x v="0"/>
    <x v="0"/>
  </r>
  <r>
    <n v="38"/>
    <x v="2"/>
    <x v="0"/>
    <n v="3"/>
    <x v="0"/>
    <s v="Rich"/>
    <x v="2"/>
    <x v="735"/>
    <x v="1"/>
    <x v="5"/>
    <x v="3"/>
    <x v="0"/>
    <x v="0"/>
  </r>
  <r>
    <n v="67"/>
    <x v="0"/>
    <x v="1"/>
    <n v="2"/>
    <x v="0"/>
    <s v="Little"/>
    <x v="1"/>
    <x v="736"/>
    <x v="2"/>
    <x v="12"/>
    <x v="6"/>
    <x v="0"/>
    <x v="0"/>
  </r>
  <r>
    <n v="25"/>
    <x v="1"/>
    <x v="0"/>
    <n v="2"/>
    <x v="0"/>
    <s v="Little"/>
    <x v="1"/>
    <x v="737"/>
    <x v="2"/>
    <x v="27"/>
    <x v="0"/>
    <x v="1"/>
    <x v="1"/>
  </r>
  <r>
    <n v="60"/>
    <x v="0"/>
    <x v="0"/>
    <n v="2"/>
    <x v="0"/>
    <s v="Rich"/>
    <x v="2"/>
    <x v="738"/>
    <x v="0"/>
    <x v="4"/>
    <x v="3"/>
    <x v="0"/>
    <x v="0"/>
  </r>
  <r>
    <n v="31"/>
    <x v="2"/>
    <x v="0"/>
    <n v="1"/>
    <x v="0"/>
    <s v="Little"/>
    <x v="1"/>
    <x v="107"/>
    <x v="0"/>
    <x v="2"/>
    <x v="1"/>
    <x v="0"/>
    <x v="0"/>
  </r>
  <r>
    <n v="23"/>
    <x v="1"/>
    <x v="1"/>
    <n v="1"/>
    <x v="0"/>
    <s v="Moderate"/>
    <x v="1"/>
    <x v="739"/>
    <x v="0"/>
    <x v="2"/>
    <x v="3"/>
    <x v="1"/>
    <x v="1"/>
  </r>
  <r>
    <n v="60"/>
    <x v="0"/>
    <x v="0"/>
    <n v="3"/>
    <x v="0"/>
    <s v="No Account"/>
    <x v="1"/>
    <x v="55"/>
    <x v="1"/>
    <x v="18"/>
    <x v="3"/>
    <x v="0"/>
    <x v="0"/>
  </r>
  <r>
    <n v="35"/>
    <x v="2"/>
    <x v="0"/>
    <n v="1"/>
    <x v="0"/>
    <s v="Rich"/>
    <x v="1"/>
    <x v="740"/>
    <x v="0"/>
    <x v="12"/>
    <x v="4"/>
    <x v="0"/>
    <x v="0"/>
  </r>
  <r>
    <n v="40"/>
    <x v="2"/>
    <x v="0"/>
    <n v="2"/>
    <x v="0"/>
    <s v="Quite Rich"/>
    <x v="2"/>
    <x v="741"/>
    <x v="2"/>
    <x v="26"/>
    <x v="0"/>
    <x v="0"/>
    <x v="0"/>
  </r>
  <r>
    <n v="38"/>
    <x v="2"/>
    <x v="0"/>
    <n v="2"/>
    <x v="0"/>
    <s v="No Account"/>
    <x v="2"/>
    <x v="742"/>
    <x v="2"/>
    <x v="1"/>
    <x v="3"/>
    <x v="0"/>
    <x v="0"/>
  </r>
  <r>
    <n v="50"/>
    <x v="0"/>
    <x v="0"/>
    <n v="2"/>
    <x v="1"/>
    <s v="Little"/>
    <x v="1"/>
    <x v="743"/>
    <x v="1"/>
    <x v="1"/>
    <x v="1"/>
    <x v="1"/>
    <x v="1"/>
  </r>
  <r>
    <n v="27"/>
    <x v="1"/>
    <x v="0"/>
    <n v="2"/>
    <x v="0"/>
    <s v="Little"/>
    <x v="0"/>
    <x v="744"/>
    <x v="1"/>
    <x v="32"/>
    <x v="1"/>
    <x v="1"/>
    <x v="1"/>
  </r>
  <r>
    <n v="39"/>
    <x v="2"/>
    <x v="1"/>
    <n v="2"/>
    <x v="0"/>
    <s v="Little"/>
    <x v="1"/>
    <x v="745"/>
    <x v="0"/>
    <x v="21"/>
    <x v="4"/>
    <x v="1"/>
    <x v="1"/>
  </r>
  <r>
    <n v="41"/>
    <x v="2"/>
    <x v="0"/>
    <n v="3"/>
    <x v="0"/>
    <s v="No Account"/>
    <x v="2"/>
    <x v="746"/>
    <x v="1"/>
    <x v="4"/>
    <x v="3"/>
    <x v="0"/>
    <x v="0"/>
  </r>
  <r>
    <n v="27"/>
    <x v="1"/>
    <x v="0"/>
    <n v="2"/>
    <x v="0"/>
    <s v="No Account"/>
    <x v="2"/>
    <x v="747"/>
    <x v="0"/>
    <x v="0"/>
    <x v="2"/>
    <x v="0"/>
    <x v="0"/>
  </r>
  <r>
    <n v="51"/>
    <x v="0"/>
    <x v="0"/>
    <n v="2"/>
    <x v="1"/>
    <s v="Little"/>
    <x v="3"/>
    <x v="748"/>
    <x v="2"/>
    <x v="4"/>
    <x v="2"/>
    <x v="0"/>
    <x v="0"/>
  </r>
  <r>
    <n v="32"/>
    <x v="2"/>
    <x v="0"/>
    <n v="2"/>
    <x v="2"/>
    <s v="Quite Rich"/>
    <x v="2"/>
    <x v="749"/>
    <x v="2"/>
    <x v="4"/>
    <x v="2"/>
    <x v="0"/>
    <x v="0"/>
  </r>
  <r>
    <n v="22"/>
    <x v="1"/>
    <x v="1"/>
    <n v="2"/>
    <x v="2"/>
    <s v="Moderate"/>
    <x v="2"/>
    <x v="750"/>
    <x v="2"/>
    <x v="8"/>
    <x v="2"/>
    <x v="0"/>
    <x v="0"/>
  </r>
  <r>
    <n v="51"/>
    <x v="0"/>
    <x v="0"/>
    <n v="2"/>
    <x v="1"/>
    <s v="No Account"/>
    <x v="0"/>
    <x v="751"/>
    <x v="1"/>
    <x v="12"/>
    <x v="3"/>
    <x v="1"/>
    <x v="1"/>
  </r>
  <r>
    <n v="22"/>
    <x v="1"/>
    <x v="1"/>
    <n v="1"/>
    <x v="2"/>
    <s v="Little"/>
    <x v="2"/>
    <x v="237"/>
    <x v="0"/>
    <x v="2"/>
    <x v="2"/>
    <x v="0"/>
    <x v="0"/>
  </r>
  <r>
    <n v="54"/>
    <x v="0"/>
    <x v="0"/>
    <n v="2"/>
    <x v="0"/>
    <s v="No Account"/>
    <x v="2"/>
    <x v="238"/>
    <x v="0"/>
    <x v="4"/>
    <x v="3"/>
    <x v="0"/>
    <x v="0"/>
  </r>
  <r>
    <n v="35"/>
    <x v="2"/>
    <x v="0"/>
    <n v="0"/>
    <x v="0"/>
    <s v="No Account"/>
    <x v="1"/>
    <x v="752"/>
    <x v="0"/>
    <x v="8"/>
    <x v="3"/>
    <x v="0"/>
    <x v="0"/>
  </r>
  <r>
    <n v="54"/>
    <x v="0"/>
    <x v="0"/>
    <n v="2"/>
    <x v="1"/>
    <s v="Little"/>
    <x v="2"/>
    <x v="399"/>
    <x v="0"/>
    <x v="4"/>
    <x v="1"/>
    <x v="0"/>
    <x v="0"/>
  </r>
  <r>
    <n v="48"/>
    <x v="2"/>
    <x v="1"/>
    <n v="1"/>
    <x v="2"/>
    <s v="Little"/>
    <x v="1"/>
    <x v="753"/>
    <x v="0"/>
    <x v="12"/>
    <x v="0"/>
    <x v="0"/>
    <x v="0"/>
  </r>
  <r>
    <n v="24"/>
    <x v="1"/>
    <x v="1"/>
    <n v="2"/>
    <x v="0"/>
    <s v="Little"/>
    <x v="0"/>
    <x v="373"/>
    <x v="2"/>
    <x v="18"/>
    <x v="2"/>
    <x v="0"/>
    <x v="0"/>
  </r>
  <r>
    <n v="35"/>
    <x v="2"/>
    <x v="0"/>
    <n v="2"/>
    <x v="0"/>
    <s v="No Account"/>
    <x v="2"/>
    <x v="710"/>
    <x v="0"/>
    <x v="2"/>
    <x v="0"/>
    <x v="0"/>
    <x v="0"/>
  </r>
  <r>
    <n v="24"/>
    <x v="1"/>
    <x v="1"/>
    <n v="0"/>
    <x v="2"/>
    <s v="No Account"/>
    <x v="1"/>
    <x v="754"/>
    <x v="1"/>
    <x v="2"/>
    <x v="3"/>
    <x v="0"/>
    <x v="0"/>
  </r>
  <r>
    <n v="24"/>
    <x v="1"/>
    <x v="0"/>
    <n v="2"/>
    <x v="0"/>
    <s v="Little"/>
    <x v="0"/>
    <x v="755"/>
    <x v="1"/>
    <x v="5"/>
    <x v="3"/>
    <x v="1"/>
    <x v="1"/>
  </r>
  <r>
    <n v="26"/>
    <x v="1"/>
    <x v="0"/>
    <n v="1"/>
    <x v="0"/>
    <s v="Little"/>
    <x v="1"/>
    <x v="756"/>
    <x v="0"/>
    <x v="0"/>
    <x v="0"/>
    <x v="0"/>
    <x v="0"/>
  </r>
  <r>
    <n v="65"/>
    <x v="0"/>
    <x v="0"/>
    <n v="2"/>
    <x v="0"/>
    <s v="No Account"/>
    <x v="2"/>
    <x v="757"/>
    <x v="0"/>
    <x v="2"/>
    <x v="0"/>
    <x v="0"/>
    <x v="0"/>
  </r>
  <r>
    <n v="55"/>
    <x v="0"/>
    <x v="0"/>
    <n v="3"/>
    <x v="1"/>
    <s v="Little"/>
    <x v="1"/>
    <x v="758"/>
    <x v="1"/>
    <x v="3"/>
    <x v="3"/>
    <x v="0"/>
    <x v="0"/>
  </r>
  <r>
    <n v="26"/>
    <x v="1"/>
    <x v="1"/>
    <n v="0"/>
    <x v="2"/>
    <s v="Little"/>
    <x v="1"/>
    <x v="759"/>
    <x v="0"/>
    <x v="7"/>
    <x v="3"/>
    <x v="1"/>
    <x v="1"/>
  </r>
  <r>
    <n v="26"/>
    <x v="1"/>
    <x v="0"/>
    <n v="2"/>
    <x v="0"/>
    <s v="Little"/>
    <x v="1"/>
    <x v="760"/>
    <x v="0"/>
    <x v="16"/>
    <x v="4"/>
    <x v="0"/>
    <x v="0"/>
  </r>
  <r>
    <n v="28"/>
    <x v="1"/>
    <x v="0"/>
    <n v="1"/>
    <x v="0"/>
    <s v="Little"/>
    <x v="1"/>
    <x v="761"/>
    <x v="0"/>
    <x v="0"/>
    <x v="0"/>
    <x v="0"/>
    <x v="0"/>
  </r>
  <r>
    <n v="24"/>
    <x v="1"/>
    <x v="0"/>
    <n v="2"/>
    <x v="0"/>
    <s v="Little"/>
    <x v="0"/>
    <x v="762"/>
    <x v="1"/>
    <x v="5"/>
    <x v="3"/>
    <x v="1"/>
    <x v="1"/>
  </r>
  <r>
    <n v="54"/>
    <x v="0"/>
    <x v="0"/>
    <n v="2"/>
    <x v="0"/>
    <s v="Little"/>
    <x v="0"/>
    <x v="763"/>
    <x v="2"/>
    <x v="1"/>
    <x v="5"/>
    <x v="1"/>
    <x v="1"/>
  </r>
  <r>
    <n v="46"/>
    <x v="2"/>
    <x v="0"/>
    <n v="2"/>
    <x v="1"/>
    <s v="Little"/>
    <x v="0"/>
    <x v="764"/>
    <x v="2"/>
    <x v="1"/>
    <x v="3"/>
    <x v="1"/>
    <x v="1"/>
  </r>
  <r>
    <n v="54"/>
    <x v="0"/>
    <x v="1"/>
    <n v="2"/>
    <x v="2"/>
    <s v="Little"/>
    <x v="1"/>
    <x v="765"/>
    <x v="1"/>
    <x v="5"/>
    <x v="3"/>
    <x v="0"/>
    <x v="0"/>
  </r>
  <r>
    <n v="62"/>
    <x v="0"/>
    <x v="0"/>
    <n v="2"/>
    <x v="0"/>
    <s v="Quite Rich"/>
    <x v="2"/>
    <x v="766"/>
    <x v="0"/>
    <x v="0"/>
    <x v="5"/>
    <x v="0"/>
    <x v="0"/>
  </r>
  <r>
    <n v="24"/>
    <x v="1"/>
    <x v="1"/>
    <n v="2"/>
    <x v="2"/>
    <s v="Little"/>
    <x v="2"/>
    <x v="767"/>
    <x v="0"/>
    <x v="0"/>
    <x v="0"/>
    <x v="0"/>
    <x v="0"/>
  </r>
  <r>
    <n v="43"/>
    <x v="2"/>
    <x v="0"/>
    <n v="3"/>
    <x v="0"/>
    <s v="Little"/>
    <x v="0"/>
    <x v="768"/>
    <x v="1"/>
    <x v="5"/>
    <x v="7"/>
    <x v="0"/>
    <x v="0"/>
  </r>
  <r>
    <n v="26"/>
    <x v="1"/>
    <x v="0"/>
    <n v="2"/>
    <x v="0"/>
    <s v="Little"/>
    <x v="0"/>
    <x v="769"/>
    <x v="0"/>
    <x v="12"/>
    <x v="0"/>
    <x v="1"/>
    <x v="1"/>
  </r>
  <r>
    <n v="27"/>
    <x v="1"/>
    <x v="0"/>
    <n v="2"/>
    <x v="0"/>
    <s v="Little"/>
    <x v="2"/>
    <x v="770"/>
    <x v="0"/>
    <x v="2"/>
    <x v="3"/>
    <x v="0"/>
    <x v="0"/>
  </r>
  <r>
    <n v="24"/>
    <x v="1"/>
    <x v="0"/>
    <n v="2"/>
    <x v="0"/>
    <s v="Little"/>
    <x v="3"/>
    <x v="771"/>
    <x v="2"/>
    <x v="2"/>
    <x v="0"/>
    <x v="0"/>
    <x v="0"/>
  </r>
  <r>
    <n v="41"/>
    <x v="2"/>
    <x v="0"/>
    <n v="2"/>
    <x v="0"/>
    <s v="Little"/>
    <x v="0"/>
    <x v="772"/>
    <x v="2"/>
    <x v="5"/>
    <x v="2"/>
    <x v="1"/>
    <x v="1"/>
  </r>
  <r>
    <n v="47"/>
    <x v="2"/>
    <x v="0"/>
    <n v="1"/>
    <x v="0"/>
    <s v="Little"/>
    <x v="0"/>
    <x v="773"/>
    <x v="0"/>
    <x v="16"/>
    <x v="3"/>
    <x v="0"/>
    <x v="0"/>
  </r>
  <r>
    <n v="35"/>
    <x v="2"/>
    <x v="0"/>
    <n v="3"/>
    <x v="0"/>
    <s v="Little"/>
    <x v="2"/>
    <x v="774"/>
    <x v="2"/>
    <x v="12"/>
    <x v="2"/>
    <x v="0"/>
    <x v="0"/>
  </r>
  <r>
    <n v="30"/>
    <x v="2"/>
    <x v="0"/>
    <n v="2"/>
    <x v="0"/>
    <s v="Little"/>
    <x v="0"/>
    <x v="775"/>
    <x v="0"/>
    <x v="21"/>
    <x v="3"/>
    <x v="0"/>
    <x v="0"/>
  </r>
  <r>
    <n v="33"/>
    <x v="2"/>
    <x v="1"/>
    <n v="2"/>
    <x v="2"/>
    <s v="Little"/>
    <x v="0"/>
    <x v="776"/>
    <x v="2"/>
    <x v="12"/>
    <x v="3"/>
    <x v="1"/>
    <x v="1"/>
  </r>
  <r>
    <n v="36"/>
    <x v="2"/>
    <x v="0"/>
    <n v="2"/>
    <x v="0"/>
    <s v="Little"/>
    <x v="2"/>
    <x v="777"/>
    <x v="2"/>
    <x v="12"/>
    <x v="4"/>
    <x v="1"/>
    <x v="1"/>
  </r>
  <r>
    <n v="47"/>
    <x v="2"/>
    <x v="0"/>
    <n v="2"/>
    <x v="1"/>
    <s v="No Account"/>
    <x v="0"/>
    <x v="778"/>
    <x v="1"/>
    <x v="5"/>
    <x v="3"/>
    <x v="1"/>
    <x v="1"/>
  </r>
  <r>
    <n v="38"/>
    <x v="2"/>
    <x v="0"/>
    <n v="2"/>
    <x v="1"/>
    <s v="No Account"/>
    <x v="1"/>
    <x v="779"/>
    <x v="1"/>
    <x v="1"/>
    <x v="4"/>
    <x v="0"/>
    <x v="0"/>
  </r>
  <r>
    <n v="44"/>
    <x v="2"/>
    <x v="0"/>
    <n v="2"/>
    <x v="0"/>
    <s v="Quite Rich"/>
    <x v="2"/>
    <x v="780"/>
    <x v="2"/>
    <x v="4"/>
    <x v="4"/>
    <x v="0"/>
    <x v="0"/>
  </r>
  <r>
    <n v="23"/>
    <x v="1"/>
    <x v="1"/>
    <n v="2"/>
    <x v="2"/>
    <s v="Little"/>
    <x v="0"/>
    <x v="484"/>
    <x v="0"/>
    <x v="12"/>
    <x v="3"/>
    <x v="1"/>
    <x v="1"/>
  </r>
  <r>
    <n v="29"/>
    <x v="1"/>
    <x v="0"/>
    <n v="2"/>
    <x v="2"/>
    <s v="Little"/>
    <x v="0"/>
    <x v="781"/>
    <x v="1"/>
    <x v="13"/>
    <x v="4"/>
    <x v="1"/>
    <x v="1"/>
  </r>
  <r>
    <n v="42"/>
    <x v="2"/>
    <x v="1"/>
    <n v="2"/>
    <x v="0"/>
    <s v="No Account"/>
    <x v="1"/>
    <x v="782"/>
    <x v="1"/>
    <x v="4"/>
    <x v="0"/>
    <x v="0"/>
    <x v="0"/>
  </r>
  <r>
    <n v="25"/>
    <x v="1"/>
    <x v="1"/>
    <n v="1"/>
    <x v="0"/>
    <s v="Little"/>
    <x v="3"/>
    <x v="783"/>
    <x v="2"/>
    <x v="7"/>
    <x v="0"/>
    <x v="1"/>
    <x v="1"/>
  </r>
  <r>
    <n v="48"/>
    <x v="2"/>
    <x v="0"/>
    <n v="2"/>
    <x v="0"/>
    <s v="Little"/>
    <x v="0"/>
    <x v="548"/>
    <x v="0"/>
    <x v="2"/>
    <x v="3"/>
    <x v="1"/>
    <x v="1"/>
  </r>
  <r>
    <n v="21"/>
    <x v="1"/>
    <x v="1"/>
    <n v="2"/>
    <x v="0"/>
    <s v="No Account"/>
    <x v="2"/>
    <x v="784"/>
    <x v="0"/>
    <x v="2"/>
    <x v="0"/>
    <x v="0"/>
    <x v="0"/>
  </r>
  <r>
    <n v="23"/>
    <x v="1"/>
    <x v="1"/>
    <n v="1"/>
    <x v="2"/>
    <s v="Little"/>
    <x v="2"/>
    <x v="785"/>
    <x v="0"/>
    <x v="23"/>
    <x v="2"/>
    <x v="0"/>
    <x v="0"/>
  </r>
  <r>
    <n v="63"/>
    <x v="0"/>
    <x v="0"/>
    <n v="2"/>
    <x v="0"/>
    <s v="Little"/>
    <x v="0"/>
    <x v="786"/>
    <x v="2"/>
    <x v="4"/>
    <x v="3"/>
    <x v="0"/>
    <x v="0"/>
  </r>
  <r>
    <n v="46"/>
    <x v="2"/>
    <x v="0"/>
    <n v="2"/>
    <x v="0"/>
    <s v="Little"/>
    <x v="2"/>
    <x v="787"/>
    <x v="2"/>
    <x v="4"/>
    <x v="0"/>
    <x v="0"/>
    <x v="0"/>
  </r>
  <r>
    <n v="29"/>
    <x v="1"/>
    <x v="0"/>
    <n v="2"/>
    <x v="0"/>
    <s v="Little"/>
    <x v="0"/>
    <x v="788"/>
    <x v="1"/>
    <x v="5"/>
    <x v="2"/>
    <x v="1"/>
    <x v="1"/>
  </r>
  <r>
    <n v="28"/>
    <x v="1"/>
    <x v="0"/>
    <n v="1"/>
    <x v="0"/>
    <s v="Little"/>
    <x v="2"/>
    <x v="789"/>
    <x v="2"/>
    <x v="21"/>
    <x v="3"/>
    <x v="0"/>
    <x v="0"/>
  </r>
  <r>
    <n v="23"/>
    <x v="1"/>
    <x v="1"/>
    <n v="2"/>
    <x v="0"/>
    <s v="Little"/>
    <x v="2"/>
    <x v="790"/>
    <x v="0"/>
    <x v="12"/>
    <x v="6"/>
    <x v="1"/>
    <x v="1"/>
  </r>
  <r>
    <n v="50"/>
    <x v="0"/>
    <x v="0"/>
    <n v="2"/>
    <x v="0"/>
    <s v="Little"/>
    <x v="2"/>
    <x v="791"/>
    <x v="0"/>
    <x v="4"/>
    <x v="4"/>
    <x v="0"/>
    <x v="0"/>
  </r>
  <r>
    <n v="47"/>
    <x v="2"/>
    <x v="0"/>
    <n v="2"/>
    <x v="0"/>
    <s v="Little"/>
    <x v="2"/>
    <x v="792"/>
    <x v="2"/>
    <x v="12"/>
    <x v="2"/>
    <x v="0"/>
    <x v="0"/>
  </r>
  <r>
    <n v="35"/>
    <x v="2"/>
    <x v="0"/>
    <n v="2"/>
    <x v="0"/>
    <s v="No Account"/>
    <x v="1"/>
    <x v="793"/>
    <x v="2"/>
    <x v="21"/>
    <x v="2"/>
    <x v="0"/>
    <x v="0"/>
  </r>
  <r>
    <n v="68"/>
    <x v="0"/>
    <x v="0"/>
    <n v="2"/>
    <x v="2"/>
    <s v="No Account"/>
    <x v="2"/>
    <x v="697"/>
    <x v="1"/>
    <x v="12"/>
    <x v="3"/>
    <x v="1"/>
    <x v="1"/>
  </r>
  <r>
    <n v="28"/>
    <x v="1"/>
    <x v="0"/>
    <n v="2"/>
    <x v="0"/>
    <s v="Little"/>
    <x v="2"/>
    <x v="794"/>
    <x v="0"/>
    <x v="4"/>
    <x v="3"/>
    <x v="0"/>
    <x v="0"/>
  </r>
  <r>
    <n v="59"/>
    <x v="0"/>
    <x v="0"/>
    <n v="2"/>
    <x v="0"/>
    <s v="Little"/>
    <x v="0"/>
    <x v="212"/>
    <x v="0"/>
    <x v="8"/>
    <x v="0"/>
    <x v="0"/>
    <x v="0"/>
  </r>
  <r>
    <n v="57"/>
    <x v="0"/>
    <x v="0"/>
    <n v="1"/>
    <x v="0"/>
    <s v="Little"/>
    <x v="0"/>
    <x v="138"/>
    <x v="0"/>
    <x v="2"/>
    <x v="0"/>
    <x v="1"/>
    <x v="1"/>
  </r>
  <r>
    <n v="33"/>
    <x v="2"/>
    <x v="0"/>
    <n v="2"/>
    <x v="2"/>
    <s v="Little"/>
    <x v="0"/>
    <x v="795"/>
    <x v="2"/>
    <x v="18"/>
    <x v="3"/>
    <x v="1"/>
    <x v="1"/>
  </r>
  <r>
    <n v="43"/>
    <x v="2"/>
    <x v="0"/>
    <n v="2"/>
    <x v="0"/>
    <s v="No Account"/>
    <x v="2"/>
    <x v="599"/>
    <x v="2"/>
    <x v="4"/>
    <x v="3"/>
    <x v="0"/>
    <x v="0"/>
  </r>
  <r>
    <n v="35"/>
    <x v="2"/>
    <x v="0"/>
    <n v="2"/>
    <x v="1"/>
    <s v="Little"/>
    <x v="2"/>
    <x v="796"/>
    <x v="0"/>
    <x v="7"/>
    <x v="0"/>
    <x v="0"/>
    <x v="0"/>
  </r>
  <r>
    <n v="32"/>
    <x v="2"/>
    <x v="0"/>
    <n v="1"/>
    <x v="1"/>
    <s v="Little"/>
    <x v="0"/>
    <x v="569"/>
    <x v="0"/>
    <x v="12"/>
    <x v="3"/>
    <x v="1"/>
    <x v="1"/>
  </r>
  <r>
    <n v="45"/>
    <x v="2"/>
    <x v="0"/>
    <n v="2"/>
    <x v="0"/>
    <s v="Little"/>
    <x v="2"/>
    <x v="797"/>
    <x v="1"/>
    <x v="5"/>
    <x v="3"/>
    <x v="0"/>
    <x v="0"/>
  </r>
  <r>
    <n v="33"/>
    <x v="2"/>
    <x v="0"/>
    <n v="2"/>
    <x v="0"/>
    <s v="Moderate"/>
    <x v="2"/>
    <x v="34"/>
    <x v="0"/>
    <x v="4"/>
    <x v="3"/>
    <x v="0"/>
    <x v="0"/>
  </r>
  <r>
    <n v="40"/>
    <x v="2"/>
    <x v="1"/>
    <n v="2"/>
    <x v="0"/>
    <s v="No Account"/>
    <x v="2"/>
    <x v="798"/>
    <x v="0"/>
    <x v="9"/>
    <x v="1"/>
    <x v="0"/>
    <x v="0"/>
  </r>
  <r>
    <n v="28"/>
    <x v="1"/>
    <x v="0"/>
    <n v="2"/>
    <x v="1"/>
    <s v="Little"/>
    <x v="2"/>
    <x v="799"/>
    <x v="2"/>
    <x v="7"/>
    <x v="2"/>
    <x v="0"/>
    <x v="0"/>
  </r>
  <r>
    <n v="29"/>
    <x v="1"/>
    <x v="1"/>
    <n v="2"/>
    <x v="0"/>
    <s v="Little"/>
    <x v="0"/>
    <x v="800"/>
    <x v="2"/>
    <x v="7"/>
    <x v="3"/>
    <x v="1"/>
    <x v="1"/>
  </r>
  <r>
    <n v="26"/>
    <x v="1"/>
    <x v="0"/>
    <n v="2"/>
    <x v="2"/>
    <s v="Moderate"/>
    <x v="2"/>
    <x v="801"/>
    <x v="2"/>
    <x v="8"/>
    <x v="3"/>
    <x v="0"/>
    <x v="0"/>
  </r>
  <r>
    <n v="27"/>
    <x v="1"/>
    <x v="0"/>
    <n v="2"/>
    <x v="0"/>
    <s v="Rich"/>
    <x v="2"/>
    <x v="802"/>
    <x v="1"/>
    <x v="4"/>
    <x v="3"/>
    <x v="0"/>
    <x v="0"/>
  </r>
  <r>
    <n v="28"/>
    <x v="1"/>
    <x v="0"/>
    <n v="2"/>
    <x v="0"/>
    <s v="Little"/>
    <x v="2"/>
    <x v="803"/>
    <x v="2"/>
    <x v="12"/>
    <x v="4"/>
    <x v="1"/>
    <x v="1"/>
  </r>
  <r>
    <n v="35"/>
    <x v="2"/>
    <x v="1"/>
    <n v="2"/>
    <x v="0"/>
    <s v="Little"/>
    <x v="0"/>
    <x v="804"/>
    <x v="2"/>
    <x v="4"/>
    <x v="0"/>
    <x v="1"/>
    <x v="1"/>
  </r>
  <r>
    <n v="32"/>
    <x v="2"/>
    <x v="0"/>
    <n v="1"/>
    <x v="0"/>
    <s v="Rich"/>
    <x v="2"/>
    <x v="578"/>
    <x v="2"/>
    <x v="15"/>
    <x v="2"/>
    <x v="0"/>
    <x v="0"/>
  </r>
  <r>
    <n v="25"/>
    <x v="1"/>
    <x v="0"/>
    <n v="1"/>
    <x v="2"/>
    <s v="Little"/>
    <x v="2"/>
    <x v="805"/>
    <x v="2"/>
    <x v="9"/>
    <x v="2"/>
    <x v="1"/>
    <x v="1"/>
  </r>
  <r>
    <n v="20"/>
    <x v="1"/>
    <x v="1"/>
    <n v="2"/>
    <x v="2"/>
    <s v="Quite Rich"/>
    <x v="2"/>
    <x v="806"/>
    <x v="2"/>
    <x v="7"/>
    <x v="2"/>
    <x v="0"/>
    <x v="0"/>
  </r>
  <r>
    <n v="27"/>
    <x v="1"/>
    <x v="1"/>
    <n v="2"/>
    <x v="0"/>
    <s v="Little"/>
    <x v="0"/>
    <x v="807"/>
    <x v="2"/>
    <x v="12"/>
    <x v="0"/>
    <x v="0"/>
    <x v="0"/>
  </r>
  <r>
    <n v="42"/>
    <x v="2"/>
    <x v="0"/>
    <n v="2"/>
    <x v="0"/>
    <s v="Little"/>
    <x v="2"/>
    <x v="808"/>
    <x v="2"/>
    <x v="2"/>
    <x v="2"/>
    <x v="0"/>
    <x v="0"/>
  </r>
  <r>
    <n v="37"/>
    <x v="2"/>
    <x v="0"/>
    <n v="2"/>
    <x v="0"/>
    <s v="No Account"/>
    <x v="2"/>
    <x v="809"/>
    <x v="1"/>
    <x v="5"/>
    <x v="4"/>
    <x v="0"/>
    <x v="0"/>
  </r>
  <r>
    <n v="24"/>
    <x v="1"/>
    <x v="1"/>
    <n v="2"/>
    <x v="2"/>
    <s v="Little"/>
    <x v="0"/>
    <x v="810"/>
    <x v="0"/>
    <x v="2"/>
    <x v="2"/>
    <x v="0"/>
    <x v="0"/>
  </r>
  <r>
    <n v="40"/>
    <x v="2"/>
    <x v="1"/>
    <n v="2"/>
    <x v="0"/>
    <s v="Quite Rich"/>
    <x v="2"/>
    <x v="811"/>
    <x v="1"/>
    <x v="5"/>
    <x v="2"/>
    <x v="0"/>
    <x v="0"/>
  </r>
  <r>
    <n v="46"/>
    <x v="2"/>
    <x v="0"/>
    <n v="2"/>
    <x v="0"/>
    <s v="Little"/>
    <x v="3"/>
    <x v="812"/>
    <x v="0"/>
    <x v="0"/>
    <x v="3"/>
    <x v="0"/>
    <x v="0"/>
  </r>
  <r>
    <n v="26"/>
    <x v="1"/>
    <x v="0"/>
    <n v="2"/>
    <x v="0"/>
    <s v="Moderate"/>
    <x v="0"/>
    <x v="191"/>
    <x v="0"/>
    <x v="4"/>
    <x v="4"/>
    <x v="0"/>
    <x v="0"/>
  </r>
  <r>
    <n v="24"/>
    <x v="1"/>
    <x v="1"/>
    <n v="2"/>
    <x v="0"/>
    <s v="No Account"/>
    <x v="2"/>
    <x v="813"/>
    <x v="0"/>
    <x v="7"/>
    <x v="5"/>
    <x v="0"/>
    <x v="0"/>
  </r>
  <r>
    <n v="29"/>
    <x v="1"/>
    <x v="0"/>
    <n v="1"/>
    <x v="0"/>
    <s v="Little"/>
    <x v="0"/>
    <x v="814"/>
    <x v="2"/>
    <x v="2"/>
    <x v="2"/>
    <x v="0"/>
    <x v="0"/>
  </r>
  <r>
    <n v="40"/>
    <x v="2"/>
    <x v="1"/>
    <n v="2"/>
    <x v="0"/>
    <s v="Rich"/>
    <x v="1"/>
    <x v="815"/>
    <x v="0"/>
    <x v="14"/>
    <x v="3"/>
    <x v="0"/>
    <x v="0"/>
  </r>
  <r>
    <n v="36"/>
    <x v="2"/>
    <x v="0"/>
    <n v="3"/>
    <x v="1"/>
    <s v="Little"/>
    <x v="0"/>
    <x v="738"/>
    <x v="0"/>
    <x v="12"/>
    <x v="0"/>
    <x v="0"/>
    <x v="0"/>
  </r>
  <r>
    <n v="28"/>
    <x v="1"/>
    <x v="0"/>
    <n v="2"/>
    <x v="0"/>
    <s v="Little"/>
    <x v="2"/>
    <x v="816"/>
    <x v="2"/>
    <x v="5"/>
    <x v="0"/>
    <x v="0"/>
    <x v="0"/>
  </r>
  <r>
    <n v="27"/>
    <x v="1"/>
    <x v="0"/>
    <n v="3"/>
    <x v="1"/>
    <s v="Little"/>
    <x v="0"/>
    <x v="817"/>
    <x v="0"/>
    <x v="8"/>
    <x v="3"/>
    <x v="1"/>
    <x v="1"/>
  </r>
  <r>
    <n v="36"/>
    <x v="2"/>
    <x v="0"/>
    <n v="2"/>
    <x v="0"/>
    <s v="No Account"/>
    <x v="2"/>
    <x v="818"/>
    <x v="1"/>
    <x v="6"/>
    <x v="0"/>
    <x v="0"/>
    <x v="0"/>
  </r>
  <r>
    <n v="38"/>
    <x v="2"/>
    <x v="0"/>
    <n v="3"/>
    <x v="0"/>
    <s v="Little"/>
    <x v="2"/>
    <x v="819"/>
    <x v="1"/>
    <x v="4"/>
    <x v="3"/>
    <x v="0"/>
    <x v="0"/>
  </r>
  <r>
    <n v="48"/>
    <x v="2"/>
    <x v="0"/>
    <n v="2"/>
    <x v="1"/>
    <s v="No Account"/>
    <x v="2"/>
    <x v="820"/>
    <x v="1"/>
    <x v="4"/>
    <x v="3"/>
    <x v="0"/>
    <x v="0"/>
  </r>
  <r>
    <n v="36"/>
    <x v="2"/>
    <x v="0"/>
    <n v="2"/>
    <x v="0"/>
    <s v="No Account"/>
    <x v="1"/>
    <x v="821"/>
    <x v="2"/>
    <x v="6"/>
    <x v="3"/>
    <x v="0"/>
    <x v="0"/>
  </r>
  <r>
    <n v="65"/>
    <x v="0"/>
    <x v="1"/>
    <n v="0"/>
    <x v="0"/>
    <s v="Little"/>
    <x v="2"/>
    <x v="822"/>
    <x v="0"/>
    <x v="12"/>
    <x v="0"/>
    <x v="0"/>
    <x v="0"/>
  </r>
  <r>
    <n v="43"/>
    <x v="2"/>
    <x v="0"/>
    <n v="2"/>
    <x v="0"/>
    <s v="Little"/>
    <x v="1"/>
    <x v="823"/>
    <x v="2"/>
    <x v="4"/>
    <x v="2"/>
    <x v="1"/>
    <x v="1"/>
  </r>
  <r>
    <n v="53"/>
    <x v="0"/>
    <x v="1"/>
    <n v="2"/>
    <x v="0"/>
    <s v="Little"/>
    <x v="0"/>
    <x v="824"/>
    <x v="0"/>
    <x v="2"/>
    <x v="1"/>
    <x v="1"/>
    <x v="1"/>
  </r>
  <r>
    <n v="34"/>
    <x v="2"/>
    <x v="0"/>
    <n v="2"/>
    <x v="0"/>
    <s v="No Account"/>
    <x v="1"/>
    <x v="825"/>
    <x v="2"/>
    <x v="4"/>
    <x v="4"/>
    <x v="0"/>
    <x v="0"/>
  </r>
  <r>
    <n v="23"/>
    <x v="1"/>
    <x v="0"/>
    <n v="2"/>
    <x v="0"/>
    <s v="Little"/>
    <x v="1"/>
    <x v="826"/>
    <x v="1"/>
    <x v="1"/>
    <x v="4"/>
    <x v="1"/>
    <x v="1"/>
  </r>
  <r>
    <n v="34"/>
    <x v="2"/>
    <x v="0"/>
    <n v="3"/>
    <x v="0"/>
    <s v="Little"/>
    <x v="2"/>
    <x v="827"/>
    <x v="1"/>
    <x v="5"/>
    <x v="3"/>
    <x v="0"/>
    <x v="0"/>
  </r>
  <r>
    <n v="40"/>
    <x v="2"/>
    <x v="0"/>
    <n v="2"/>
    <x v="2"/>
    <s v="No Account"/>
    <x v="2"/>
    <x v="828"/>
    <x v="1"/>
    <x v="28"/>
    <x v="3"/>
    <x v="0"/>
    <x v="0"/>
  </r>
  <r>
    <n v="43"/>
    <x v="2"/>
    <x v="0"/>
    <n v="3"/>
    <x v="0"/>
    <s v="Little"/>
    <x v="0"/>
    <x v="829"/>
    <x v="2"/>
    <x v="15"/>
    <x v="4"/>
    <x v="0"/>
    <x v="0"/>
  </r>
  <r>
    <n v="46"/>
    <x v="2"/>
    <x v="0"/>
    <n v="2"/>
    <x v="0"/>
    <s v="Little"/>
    <x v="2"/>
    <x v="830"/>
    <x v="0"/>
    <x v="7"/>
    <x v="0"/>
    <x v="0"/>
    <x v="0"/>
  </r>
  <r>
    <n v="38"/>
    <x v="2"/>
    <x v="0"/>
    <n v="1"/>
    <x v="0"/>
    <s v="Little"/>
    <x v="0"/>
    <x v="65"/>
    <x v="2"/>
    <x v="2"/>
    <x v="3"/>
    <x v="0"/>
    <x v="0"/>
  </r>
  <r>
    <n v="34"/>
    <x v="2"/>
    <x v="0"/>
    <n v="2"/>
    <x v="0"/>
    <s v="Little"/>
    <x v="1"/>
    <x v="831"/>
    <x v="1"/>
    <x v="5"/>
    <x v="3"/>
    <x v="0"/>
    <x v="0"/>
  </r>
  <r>
    <n v="29"/>
    <x v="1"/>
    <x v="0"/>
    <n v="2"/>
    <x v="0"/>
    <s v="No Account"/>
    <x v="2"/>
    <x v="0"/>
    <x v="0"/>
    <x v="12"/>
    <x v="0"/>
    <x v="0"/>
    <x v="0"/>
  </r>
  <r>
    <n v="31"/>
    <x v="2"/>
    <x v="0"/>
    <n v="3"/>
    <x v="0"/>
    <s v="No Account"/>
    <x v="2"/>
    <x v="832"/>
    <x v="1"/>
    <x v="5"/>
    <x v="3"/>
    <x v="0"/>
    <x v="0"/>
  </r>
  <r>
    <n v="28"/>
    <x v="1"/>
    <x v="1"/>
    <n v="3"/>
    <x v="2"/>
    <s v="Little"/>
    <x v="0"/>
    <x v="833"/>
    <x v="2"/>
    <x v="21"/>
    <x v="0"/>
    <x v="0"/>
    <x v="0"/>
  </r>
  <r>
    <n v="35"/>
    <x v="2"/>
    <x v="1"/>
    <n v="2"/>
    <x v="0"/>
    <s v="Rich"/>
    <x v="2"/>
    <x v="834"/>
    <x v="0"/>
    <x v="2"/>
    <x v="2"/>
    <x v="0"/>
    <x v="0"/>
  </r>
  <r>
    <n v="33"/>
    <x v="2"/>
    <x v="1"/>
    <n v="1"/>
    <x v="2"/>
    <s v="No Account"/>
    <x v="2"/>
    <x v="835"/>
    <x v="2"/>
    <x v="7"/>
    <x v="2"/>
    <x v="0"/>
    <x v="0"/>
  </r>
  <r>
    <n v="42"/>
    <x v="2"/>
    <x v="0"/>
    <n v="2"/>
    <x v="0"/>
    <s v="Little"/>
    <x v="0"/>
    <x v="836"/>
    <x v="2"/>
    <x v="12"/>
    <x v="2"/>
    <x v="1"/>
    <x v="1"/>
  </r>
  <r>
    <n v="43"/>
    <x v="2"/>
    <x v="0"/>
    <n v="2"/>
    <x v="2"/>
    <s v="Little"/>
    <x v="0"/>
    <x v="837"/>
    <x v="2"/>
    <x v="22"/>
    <x v="3"/>
    <x v="1"/>
    <x v="1"/>
  </r>
  <r>
    <n v="44"/>
    <x v="2"/>
    <x v="0"/>
    <n v="2"/>
    <x v="0"/>
    <s v="No Account"/>
    <x v="2"/>
    <x v="838"/>
    <x v="2"/>
    <x v="18"/>
    <x v="3"/>
    <x v="0"/>
    <x v="0"/>
  </r>
  <r>
    <n v="42"/>
    <x v="2"/>
    <x v="0"/>
    <n v="2"/>
    <x v="1"/>
    <s v="No Account"/>
    <x v="2"/>
    <x v="839"/>
    <x v="1"/>
    <x v="5"/>
    <x v="3"/>
    <x v="0"/>
    <x v="0"/>
  </r>
  <r>
    <n v="40"/>
    <x v="2"/>
    <x v="0"/>
    <n v="2"/>
    <x v="2"/>
    <s v="No Account"/>
    <x v="2"/>
    <x v="615"/>
    <x v="0"/>
    <x v="7"/>
    <x v="0"/>
    <x v="0"/>
    <x v="0"/>
  </r>
  <r>
    <n v="36"/>
    <x v="2"/>
    <x v="0"/>
    <n v="3"/>
    <x v="0"/>
    <s v="Little"/>
    <x v="2"/>
    <x v="840"/>
    <x v="0"/>
    <x v="4"/>
    <x v="0"/>
    <x v="0"/>
    <x v="0"/>
  </r>
  <r>
    <n v="20"/>
    <x v="1"/>
    <x v="0"/>
    <n v="3"/>
    <x v="2"/>
    <s v="Little"/>
    <x v="0"/>
    <x v="841"/>
    <x v="0"/>
    <x v="2"/>
    <x v="0"/>
    <x v="0"/>
    <x v="0"/>
  </r>
  <r>
    <n v="24"/>
    <x v="1"/>
    <x v="0"/>
    <n v="1"/>
    <x v="0"/>
    <s v="No Account"/>
    <x v="0"/>
    <x v="842"/>
    <x v="2"/>
    <x v="21"/>
    <x v="3"/>
    <x v="0"/>
    <x v="0"/>
  </r>
  <r>
    <n v="27"/>
    <x v="1"/>
    <x v="0"/>
    <n v="2"/>
    <x v="0"/>
    <s v="No Account"/>
    <x v="1"/>
    <x v="843"/>
    <x v="2"/>
    <x v="5"/>
    <x v="1"/>
    <x v="0"/>
    <x v="0"/>
  </r>
  <r>
    <n v="46"/>
    <x v="2"/>
    <x v="1"/>
    <n v="1"/>
    <x v="0"/>
    <s v="Little"/>
    <x v="2"/>
    <x v="844"/>
    <x v="2"/>
    <x v="7"/>
    <x v="3"/>
    <x v="0"/>
    <x v="0"/>
  </r>
  <r>
    <n v="33"/>
    <x v="2"/>
    <x v="1"/>
    <n v="1"/>
    <x v="0"/>
    <s v="No Account"/>
    <x v="1"/>
    <x v="845"/>
    <x v="2"/>
    <x v="8"/>
    <x v="3"/>
    <x v="0"/>
    <x v="0"/>
  </r>
  <r>
    <n v="34"/>
    <x v="2"/>
    <x v="1"/>
    <n v="2"/>
    <x v="0"/>
    <s v="Little"/>
    <x v="2"/>
    <x v="846"/>
    <x v="2"/>
    <x v="5"/>
    <x v="0"/>
    <x v="0"/>
    <x v="0"/>
  </r>
  <r>
    <n v="25"/>
    <x v="1"/>
    <x v="1"/>
    <n v="1"/>
    <x v="0"/>
    <s v="Little"/>
    <x v="1"/>
    <x v="847"/>
    <x v="2"/>
    <x v="4"/>
    <x v="2"/>
    <x v="1"/>
    <x v="1"/>
  </r>
  <r>
    <n v="25"/>
    <x v="1"/>
    <x v="1"/>
    <n v="2"/>
    <x v="0"/>
    <s v="No Account"/>
    <x v="1"/>
    <x v="848"/>
    <x v="2"/>
    <x v="6"/>
    <x v="0"/>
    <x v="0"/>
    <x v="0"/>
  </r>
  <r>
    <n v="28"/>
    <x v="1"/>
    <x v="0"/>
    <n v="2"/>
    <x v="0"/>
    <s v="Rich"/>
    <x v="2"/>
    <x v="849"/>
    <x v="2"/>
    <x v="14"/>
    <x v="4"/>
    <x v="0"/>
    <x v="0"/>
  </r>
  <r>
    <n v="31"/>
    <x v="2"/>
    <x v="0"/>
    <n v="2"/>
    <x v="2"/>
    <s v="Little"/>
    <x v="0"/>
    <x v="850"/>
    <x v="2"/>
    <x v="4"/>
    <x v="4"/>
    <x v="1"/>
    <x v="1"/>
  </r>
  <r>
    <n v="32"/>
    <x v="2"/>
    <x v="1"/>
    <n v="3"/>
    <x v="0"/>
    <s v="Little"/>
    <x v="1"/>
    <x v="851"/>
    <x v="1"/>
    <x v="1"/>
    <x v="7"/>
    <x v="1"/>
    <x v="1"/>
  </r>
  <r>
    <n v="32"/>
    <x v="2"/>
    <x v="0"/>
    <n v="2"/>
    <x v="0"/>
    <s v="Moderate"/>
    <x v="2"/>
    <x v="852"/>
    <x v="2"/>
    <x v="9"/>
    <x v="3"/>
    <x v="0"/>
    <x v="0"/>
  </r>
  <r>
    <n v="68"/>
    <x v="0"/>
    <x v="0"/>
    <n v="3"/>
    <x v="0"/>
    <s v="Little"/>
    <x v="0"/>
    <x v="853"/>
    <x v="1"/>
    <x v="0"/>
    <x v="3"/>
    <x v="1"/>
    <x v="1"/>
  </r>
  <r>
    <n v="33"/>
    <x v="2"/>
    <x v="0"/>
    <n v="2"/>
    <x v="0"/>
    <s v="Moderate"/>
    <x v="0"/>
    <x v="854"/>
    <x v="2"/>
    <x v="4"/>
    <x v="2"/>
    <x v="1"/>
    <x v="1"/>
  </r>
  <r>
    <n v="39"/>
    <x v="2"/>
    <x v="0"/>
    <n v="3"/>
    <x v="2"/>
    <s v="Little"/>
    <x v="0"/>
    <x v="855"/>
    <x v="2"/>
    <x v="4"/>
    <x v="2"/>
    <x v="1"/>
    <x v="1"/>
  </r>
  <r>
    <n v="28"/>
    <x v="1"/>
    <x v="1"/>
    <n v="2"/>
    <x v="0"/>
    <s v="Little"/>
    <x v="2"/>
    <x v="856"/>
    <x v="0"/>
    <x v="12"/>
    <x v="2"/>
    <x v="0"/>
    <x v="0"/>
  </r>
  <r>
    <n v="37"/>
    <x v="2"/>
    <x v="0"/>
    <n v="3"/>
    <x v="0"/>
    <s v="Quite Rich"/>
    <x v="2"/>
    <x v="857"/>
    <x v="1"/>
    <x v="1"/>
    <x v="0"/>
    <x v="0"/>
    <x v="0"/>
  </r>
  <r>
    <n v="22"/>
    <x v="1"/>
    <x v="1"/>
    <n v="2"/>
    <x v="2"/>
    <s v="Little"/>
    <x v="0"/>
    <x v="858"/>
    <x v="0"/>
    <x v="8"/>
    <x v="0"/>
    <x v="1"/>
    <x v="1"/>
  </r>
  <r>
    <n v="30"/>
    <x v="2"/>
    <x v="0"/>
    <n v="2"/>
    <x v="2"/>
    <s v="Little"/>
    <x v="1"/>
    <x v="859"/>
    <x v="2"/>
    <x v="2"/>
    <x v="3"/>
    <x v="0"/>
    <x v="0"/>
  </r>
  <r>
    <n v="55"/>
    <x v="0"/>
    <x v="0"/>
    <n v="2"/>
    <x v="0"/>
    <s v="Little"/>
    <x v="0"/>
    <x v="860"/>
    <x v="1"/>
    <x v="4"/>
    <x v="2"/>
    <x v="1"/>
    <x v="1"/>
  </r>
  <r>
    <n v="46"/>
    <x v="2"/>
    <x v="0"/>
    <n v="2"/>
    <x v="0"/>
    <s v="Little"/>
    <x v="0"/>
    <x v="861"/>
    <x v="0"/>
    <x v="2"/>
    <x v="3"/>
    <x v="1"/>
    <x v="1"/>
  </r>
  <r>
    <n v="21"/>
    <x v="1"/>
    <x v="1"/>
    <n v="2"/>
    <x v="2"/>
    <s v="Little"/>
    <x v="0"/>
    <x v="862"/>
    <x v="0"/>
    <x v="12"/>
    <x v="2"/>
    <x v="0"/>
    <x v="0"/>
  </r>
  <r>
    <n v="39"/>
    <x v="2"/>
    <x v="0"/>
    <n v="2"/>
    <x v="1"/>
    <s v="Little"/>
    <x v="0"/>
    <x v="863"/>
    <x v="1"/>
    <x v="1"/>
    <x v="3"/>
    <x v="1"/>
    <x v="1"/>
  </r>
  <r>
    <n v="58"/>
    <x v="0"/>
    <x v="0"/>
    <n v="2"/>
    <x v="0"/>
    <s v="No Account"/>
    <x v="2"/>
    <x v="864"/>
    <x v="0"/>
    <x v="6"/>
    <x v="0"/>
    <x v="0"/>
    <x v="0"/>
  </r>
  <r>
    <n v="43"/>
    <x v="2"/>
    <x v="0"/>
    <n v="1"/>
    <x v="0"/>
    <s v="Little"/>
    <x v="0"/>
    <x v="293"/>
    <x v="0"/>
    <x v="2"/>
    <x v="3"/>
    <x v="0"/>
    <x v="0"/>
  </r>
  <r>
    <n v="24"/>
    <x v="1"/>
    <x v="0"/>
    <n v="1"/>
    <x v="0"/>
    <s v="Little"/>
    <x v="0"/>
    <x v="865"/>
    <x v="0"/>
    <x v="4"/>
    <x v="2"/>
    <x v="0"/>
    <x v="0"/>
  </r>
  <r>
    <n v="22"/>
    <x v="1"/>
    <x v="1"/>
    <n v="2"/>
    <x v="0"/>
    <s v="Little"/>
    <x v="1"/>
    <x v="866"/>
    <x v="0"/>
    <x v="8"/>
    <x v="0"/>
    <x v="1"/>
    <x v="1"/>
  </r>
  <r>
    <n v="30"/>
    <x v="2"/>
    <x v="0"/>
    <n v="2"/>
    <x v="0"/>
    <s v="Little"/>
    <x v="2"/>
    <x v="867"/>
    <x v="0"/>
    <x v="8"/>
    <x v="3"/>
    <x v="0"/>
    <x v="0"/>
  </r>
  <r>
    <n v="42"/>
    <x v="2"/>
    <x v="0"/>
    <n v="2"/>
    <x v="0"/>
    <s v="Quite Rich"/>
    <x v="2"/>
    <x v="868"/>
    <x v="0"/>
    <x v="2"/>
    <x v="0"/>
    <x v="0"/>
    <x v="0"/>
  </r>
  <r>
    <n v="23"/>
    <x v="1"/>
    <x v="1"/>
    <n v="2"/>
    <x v="0"/>
    <s v="Little"/>
    <x v="0"/>
    <x v="869"/>
    <x v="0"/>
    <x v="2"/>
    <x v="0"/>
    <x v="0"/>
    <x v="0"/>
  </r>
  <r>
    <n v="30"/>
    <x v="2"/>
    <x v="0"/>
    <n v="3"/>
    <x v="0"/>
    <s v="Moderate"/>
    <x v="1"/>
    <x v="101"/>
    <x v="0"/>
    <x v="6"/>
    <x v="0"/>
    <x v="1"/>
    <x v="1"/>
  </r>
  <r>
    <n v="28"/>
    <x v="1"/>
    <x v="1"/>
    <n v="1"/>
    <x v="0"/>
    <s v="Little"/>
    <x v="3"/>
    <x v="870"/>
    <x v="0"/>
    <x v="8"/>
    <x v="0"/>
    <x v="1"/>
    <x v="1"/>
  </r>
  <r>
    <n v="30"/>
    <x v="2"/>
    <x v="0"/>
    <n v="3"/>
    <x v="2"/>
    <s v="Little"/>
    <x v="1"/>
    <x v="871"/>
    <x v="2"/>
    <x v="0"/>
    <x v="0"/>
    <x v="0"/>
    <x v="0"/>
  </r>
  <r>
    <n v="42"/>
    <x v="2"/>
    <x v="0"/>
    <n v="2"/>
    <x v="1"/>
    <s v="Little"/>
    <x v="1"/>
    <x v="872"/>
    <x v="1"/>
    <x v="11"/>
    <x v="1"/>
    <x v="1"/>
    <x v="1"/>
  </r>
  <r>
    <n v="46"/>
    <x v="2"/>
    <x v="0"/>
    <n v="3"/>
    <x v="0"/>
    <s v="No Account"/>
    <x v="2"/>
    <x v="873"/>
    <x v="1"/>
    <x v="4"/>
    <x v="3"/>
    <x v="0"/>
    <x v="0"/>
  </r>
  <r>
    <n v="45"/>
    <x v="2"/>
    <x v="0"/>
    <n v="3"/>
    <x v="0"/>
    <s v="No Account"/>
    <x v="2"/>
    <x v="874"/>
    <x v="2"/>
    <x v="2"/>
    <x v="3"/>
    <x v="0"/>
    <x v="0"/>
  </r>
  <r>
    <n v="31"/>
    <x v="2"/>
    <x v="0"/>
    <n v="1"/>
    <x v="0"/>
    <s v="Little"/>
    <x v="2"/>
    <x v="537"/>
    <x v="0"/>
    <x v="9"/>
    <x v="3"/>
    <x v="0"/>
    <x v="0"/>
  </r>
  <r>
    <n v="31"/>
    <x v="2"/>
    <x v="0"/>
    <n v="2"/>
    <x v="0"/>
    <s v="No Account"/>
    <x v="2"/>
    <x v="875"/>
    <x v="0"/>
    <x v="4"/>
    <x v="2"/>
    <x v="0"/>
    <x v="0"/>
  </r>
  <r>
    <n v="42"/>
    <x v="2"/>
    <x v="0"/>
    <n v="1"/>
    <x v="0"/>
    <s v="Little"/>
    <x v="2"/>
    <x v="876"/>
    <x v="0"/>
    <x v="23"/>
    <x v="3"/>
    <x v="0"/>
    <x v="0"/>
  </r>
  <r>
    <n v="46"/>
    <x v="2"/>
    <x v="1"/>
    <n v="2"/>
    <x v="2"/>
    <s v="Little"/>
    <x v="0"/>
    <x v="877"/>
    <x v="0"/>
    <x v="7"/>
    <x v="2"/>
    <x v="0"/>
    <x v="0"/>
  </r>
  <r>
    <n v="30"/>
    <x v="2"/>
    <x v="1"/>
    <n v="2"/>
    <x v="0"/>
    <s v="Quite Rich"/>
    <x v="1"/>
    <x v="878"/>
    <x v="1"/>
    <x v="1"/>
    <x v="3"/>
    <x v="0"/>
    <x v="0"/>
  </r>
  <r>
    <n v="30"/>
    <x v="2"/>
    <x v="0"/>
    <n v="2"/>
    <x v="1"/>
    <s v="Quite Rich"/>
    <x v="0"/>
    <x v="576"/>
    <x v="2"/>
    <x v="4"/>
    <x v="2"/>
    <x v="1"/>
    <x v="1"/>
  </r>
  <r>
    <n v="38"/>
    <x v="2"/>
    <x v="0"/>
    <n v="3"/>
    <x v="0"/>
    <s v="No Account"/>
    <x v="2"/>
    <x v="879"/>
    <x v="2"/>
    <x v="2"/>
    <x v="3"/>
    <x v="0"/>
    <x v="0"/>
  </r>
  <r>
    <n v="43"/>
    <x v="2"/>
    <x v="0"/>
    <n v="1"/>
    <x v="0"/>
    <s v="Little"/>
    <x v="2"/>
    <x v="259"/>
    <x v="0"/>
    <x v="12"/>
    <x v="2"/>
    <x v="1"/>
    <x v="1"/>
  </r>
  <r>
    <n v="31"/>
    <x v="2"/>
    <x v="0"/>
    <n v="2"/>
    <x v="0"/>
    <s v="Moderate"/>
    <x v="2"/>
    <x v="880"/>
    <x v="2"/>
    <x v="4"/>
    <x v="0"/>
    <x v="1"/>
    <x v="1"/>
  </r>
  <r>
    <n v="40"/>
    <x v="2"/>
    <x v="0"/>
    <n v="0"/>
    <x v="0"/>
    <s v="Little"/>
    <x v="1"/>
    <x v="814"/>
    <x v="2"/>
    <x v="12"/>
    <x v="4"/>
    <x v="0"/>
    <x v="0"/>
  </r>
  <r>
    <n v="24"/>
    <x v="1"/>
    <x v="0"/>
    <n v="2"/>
    <x v="0"/>
    <s v="Little"/>
    <x v="0"/>
    <x v="881"/>
    <x v="2"/>
    <x v="5"/>
    <x v="4"/>
    <x v="1"/>
    <x v="1"/>
  </r>
  <r>
    <n v="28"/>
    <x v="1"/>
    <x v="1"/>
    <n v="2"/>
    <x v="2"/>
    <s v="Quite Rich"/>
    <x v="1"/>
    <x v="882"/>
    <x v="2"/>
    <x v="4"/>
    <x v="3"/>
    <x v="1"/>
    <x v="1"/>
  </r>
  <r>
    <n v="26"/>
    <x v="1"/>
    <x v="1"/>
    <n v="3"/>
    <x v="0"/>
    <s v="Little"/>
    <x v="2"/>
    <x v="883"/>
    <x v="1"/>
    <x v="5"/>
    <x v="2"/>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04F486-6E70-4D22-BCE2-0E52F0A4C408}" name="PivotTable1"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13">
    <pivotField showAll="0"/>
    <pivotField showAll="0"/>
    <pivotField showAll="0"/>
    <pivotField showAll="0"/>
    <pivotField showAll="0"/>
    <pivotField showAll="0"/>
    <pivotField showAll="0"/>
    <pivotField showAll="0">
      <items count="13">
        <item x="0"/>
        <item x="1"/>
        <item x="2"/>
        <item x="3"/>
        <item x="4"/>
        <item x="5"/>
        <item x="6"/>
        <item x="7"/>
        <item x="8"/>
        <item x="9"/>
        <item x="10"/>
        <item x="11"/>
        <item t="default"/>
      </items>
    </pivotField>
    <pivotField showAll="0">
      <items count="4">
        <item x="1"/>
        <item x="0"/>
        <item x="2"/>
        <item t="default"/>
      </items>
    </pivotField>
    <pivotField showAll="0">
      <items count="9">
        <item x="0"/>
        <item x="1"/>
        <item x="2"/>
        <item x="3"/>
        <item x="4"/>
        <item x="5"/>
        <item x="6"/>
        <item x="7"/>
        <item t="default"/>
      </items>
    </pivotField>
    <pivotField showAll="0"/>
    <pivotField showAll="0"/>
    <pivotField axis="axisRow" dataField="1" showAll="0">
      <items count="3">
        <item x="1"/>
        <item x="0"/>
        <item t="default"/>
      </items>
    </pivotField>
  </pivotFields>
  <rowFields count="1">
    <field x="12"/>
  </rowFields>
  <rowItems count="3">
    <i>
      <x/>
    </i>
    <i>
      <x v="1"/>
    </i>
    <i t="grand">
      <x/>
    </i>
  </rowItems>
  <colItems count="1">
    <i/>
  </colItems>
  <dataFields count="1">
    <dataField name="Count of Risk_Label" fld="1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0116B7-6DA6-4307-885C-97794BC302B3}" name="PivotTable3"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7" firstHeaderRow="1" firstDataRow="2" firstDataCol="1"/>
  <pivotFields count="13">
    <pivotField showAll="0"/>
    <pivotField showAll="0"/>
    <pivotField showAll="0"/>
    <pivotField showAll="0"/>
    <pivotField showAll="0"/>
    <pivotField showAll="0"/>
    <pivotField showAll="0"/>
    <pivotField showAll="0">
      <items count="13">
        <item x="0"/>
        <item x="1"/>
        <item x="2"/>
        <item x="3"/>
        <item x="4"/>
        <item x="5"/>
        <item x="6"/>
        <item x="7"/>
        <item x="8"/>
        <item x="9"/>
        <item x="10"/>
        <item x="11"/>
        <item t="default"/>
      </items>
    </pivotField>
    <pivotField axis="axisCol" showAll="0">
      <items count="4">
        <item x="1"/>
        <item x="0"/>
        <item x="2"/>
        <item t="default"/>
      </items>
    </pivotField>
    <pivotField showAll="0">
      <items count="9">
        <item x="0"/>
        <item x="1"/>
        <item x="2"/>
        <item x="3"/>
        <item x="4"/>
        <item x="5"/>
        <item x="6"/>
        <item x="7"/>
        <item t="default"/>
      </items>
    </pivotField>
    <pivotField showAll="0"/>
    <pivotField showAll="0"/>
    <pivotField axis="axisRow" dataField="1" showAll="0">
      <items count="3">
        <item x="1"/>
        <item x="0"/>
        <item t="default"/>
      </items>
    </pivotField>
  </pivotFields>
  <rowFields count="1">
    <field x="12"/>
  </rowFields>
  <rowItems count="3">
    <i>
      <x/>
    </i>
    <i>
      <x v="1"/>
    </i>
    <i t="grand">
      <x/>
    </i>
  </rowItems>
  <colFields count="1">
    <field x="8"/>
  </colFields>
  <colItems count="4">
    <i>
      <x/>
    </i>
    <i>
      <x v="1"/>
    </i>
    <i>
      <x v="2"/>
    </i>
    <i t="grand">
      <x/>
    </i>
  </colItems>
  <dataFields count="1">
    <dataField name="Count of Risk_Label" fld="1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1C95817-4869-424F-814A-17CF8C38BA32}" name="PivotTable4"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H7" firstHeaderRow="1" firstDataRow="2" firstDataCol="1"/>
  <pivotFields count="13">
    <pivotField showAll="0"/>
    <pivotField showAll="0"/>
    <pivotField showAll="0"/>
    <pivotField showAll="0"/>
    <pivotField showAll="0"/>
    <pivotField showAll="0"/>
    <pivotField showAll="0"/>
    <pivotField showAll="0">
      <items count="13">
        <item x="0"/>
        <item x="1"/>
        <item x="2"/>
        <item x="3"/>
        <item x="4"/>
        <item x="5"/>
        <item x="6"/>
        <item x="7"/>
        <item x="8"/>
        <item x="9"/>
        <item x="10"/>
        <item x="11"/>
        <item t="default"/>
      </items>
    </pivotField>
    <pivotField showAll="0"/>
    <pivotField axis="axisCol" showAll="0">
      <items count="9">
        <item x="0"/>
        <item x="1"/>
        <item x="2"/>
        <item x="3"/>
        <item x="4"/>
        <item x="5"/>
        <item x="6"/>
        <item x="7"/>
        <item t="default"/>
      </items>
    </pivotField>
    <pivotField showAll="0"/>
    <pivotField showAll="0">
      <items count="3">
        <item x="0"/>
        <item x="1"/>
        <item t="default"/>
      </items>
    </pivotField>
    <pivotField axis="axisRow" dataField="1" showAll="0" sortType="descending">
      <items count="3">
        <item x="0"/>
        <item x="1"/>
        <item t="default"/>
      </items>
    </pivotField>
  </pivotFields>
  <rowFields count="1">
    <field x="12"/>
  </rowFields>
  <rowItems count="3">
    <i>
      <x/>
    </i>
    <i>
      <x v="1"/>
    </i>
    <i t="grand">
      <x/>
    </i>
  </rowItems>
  <colFields count="1">
    <field x="9"/>
  </colFields>
  <colItems count="7">
    <i>
      <x v="1"/>
    </i>
    <i>
      <x v="2"/>
    </i>
    <i>
      <x v="3"/>
    </i>
    <i>
      <x v="4"/>
    </i>
    <i>
      <x v="5"/>
    </i>
    <i>
      <x v="6"/>
    </i>
    <i t="grand">
      <x/>
    </i>
  </colItems>
  <dataFields count="1">
    <dataField name="Count of Risk_Label" fld="12" subtotal="count" baseField="0" baseItem="0"/>
  </dataFields>
  <chartFormats count="6">
    <chartFormat chart="0" format="0" series="1">
      <pivotArea type="data" outline="0" fieldPosition="0">
        <references count="2">
          <reference field="4294967294" count="1" selected="0">
            <x v="0"/>
          </reference>
          <reference field="9" count="1" selected="0">
            <x v="1"/>
          </reference>
        </references>
      </pivotArea>
    </chartFormat>
    <chartFormat chart="0" format="1" series="1">
      <pivotArea type="data" outline="0" fieldPosition="0">
        <references count="2">
          <reference field="4294967294" count="1" selected="0">
            <x v="0"/>
          </reference>
          <reference field="9" count="1" selected="0">
            <x v="2"/>
          </reference>
        </references>
      </pivotArea>
    </chartFormat>
    <chartFormat chart="0" format="2" series="1">
      <pivotArea type="data" outline="0" fieldPosition="0">
        <references count="2">
          <reference field="4294967294" count="1" selected="0">
            <x v="0"/>
          </reference>
          <reference field="9" count="1" selected="0">
            <x v="3"/>
          </reference>
        </references>
      </pivotArea>
    </chartFormat>
    <chartFormat chart="0" format="3" series="1">
      <pivotArea type="data" outline="0" fieldPosition="0">
        <references count="2">
          <reference field="4294967294" count="1" selected="0">
            <x v="0"/>
          </reference>
          <reference field="9" count="1" selected="0">
            <x v="4"/>
          </reference>
        </references>
      </pivotArea>
    </chartFormat>
    <chartFormat chart="0" format="4" series="1">
      <pivotArea type="data" outline="0" fieldPosition="0">
        <references count="2">
          <reference field="4294967294" count="1" selected="0">
            <x v="0"/>
          </reference>
          <reference field="9" count="1" selected="0">
            <x v="5"/>
          </reference>
        </references>
      </pivotArea>
    </chartFormat>
    <chartFormat chart="0" format="5" series="1">
      <pivotArea type="data" outline="0" fieldPosition="0">
        <references count="2">
          <reference field="4294967294" count="1" selected="0">
            <x v="0"/>
          </reference>
          <reference field="9"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4307DF9-226D-43A0-A925-0F5F0D63BF51}" name="PivotTable5"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E7" firstHeaderRow="1" firstDataRow="2" firstDataCol="1"/>
  <pivotFields count="13">
    <pivotField showAll="0"/>
    <pivotField axis="axisCol" showAll="0">
      <items count="4">
        <item x="2"/>
        <item x="0"/>
        <item x="1"/>
        <item t="default"/>
      </items>
    </pivotField>
    <pivotField showAll="0">
      <items count="3">
        <item x="1"/>
        <item x="0"/>
        <item t="default"/>
      </items>
    </pivotField>
    <pivotField showAll="0"/>
    <pivotField showAll="0">
      <items count="4">
        <item x="1"/>
        <item x="0"/>
        <item x="2"/>
        <item t="default"/>
      </items>
    </pivotField>
    <pivotField showAll="0"/>
    <pivotField showAll="0"/>
    <pivotField showAll="0">
      <items count="13">
        <item x="0"/>
        <item x="1"/>
        <item x="2"/>
        <item x="3"/>
        <item x="4"/>
        <item x="5"/>
        <item x="6"/>
        <item x="7"/>
        <item x="8"/>
        <item x="9"/>
        <item x="10"/>
        <item x="11"/>
        <item t="default"/>
      </items>
    </pivotField>
    <pivotField showAll="0"/>
    <pivotField showAll="0"/>
    <pivotField showAll="0">
      <items count="9">
        <item h="1" x="4"/>
        <item x="3"/>
        <item h="1" x="5"/>
        <item h="1" x="1"/>
        <item h="1" x="2"/>
        <item h="1" x="0"/>
        <item h="1" x="6"/>
        <item h="1" x="7"/>
        <item t="default"/>
      </items>
    </pivotField>
    <pivotField showAll="0"/>
    <pivotField axis="axisRow" dataField="1" showAll="0">
      <items count="3">
        <item x="1"/>
        <item x="0"/>
        <item t="default"/>
      </items>
    </pivotField>
  </pivotFields>
  <rowFields count="1">
    <field x="12"/>
  </rowFields>
  <rowItems count="3">
    <i>
      <x/>
    </i>
    <i>
      <x v="1"/>
    </i>
    <i t="grand">
      <x/>
    </i>
  </rowItems>
  <colFields count="1">
    <field x="1"/>
  </colFields>
  <colItems count="4">
    <i>
      <x/>
    </i>
    <i>
      <x v="1"/>
    </i>
    <i>
      <x v="2"/>
    </i>
    <i t="grand">
      <x/>
    </i>
  </colItems>
  <dataFields count="1">
    <dataField name="Count of Risk_Label" fld="12" subtotal="count" showDataAs="percentOfCol" baseField="0" baseItem="0" numFmtId="10"/>
  </dataFields>
  <chartFormats count="3">
    <chartFormat chart="2" format="0" series="1">
      <pivotArea type="data" outline="0" fieldPosition="0">
        <references count="2">
          <reference field="4294967294" count="1" selected="0">
            <x v="0"/>
          </reference>
          <reference field="1" count="1" selected="0">
            <x v="0"/>
          </reference>
        </references>
      </pivotArea>
    </chartFormat>
    <chartFormat chart="2" format="1" series="1">
      <pivotArea type="data" outline="0" fieldPosition="0">
        <references count="2">
          <reference field="4294967294" count="1" selected="0">
            <x v="0"/>
          </reference>
          <reference field="1" count="1" selected="0">
            <x v="1"/>
          </reference>
        </references>
      </pivotArea>
    </chartFormat>
    <chartFormat chart="2" format="2"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B70778C-A753-48A0-B71D-D5E27481E184}" name="PivotTable6"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14" firstHeaderRow="1" firstDataRow="2" firstDataCol="1"/>
  <pivotFields count="13">
    <pivotField showAll="0"/>
    <pivotField showAll="0"/>
    <pivotField showAll="0"/>
    <pivotField showAll="0"/>
    <pivotField showAll="0"/>
    <pivotField showAll="0"/>
    <pivotField showAll="0"/>
    <pivotField axis="axisRow" showAll="0">
      <items count="13">
        <item x="0"/>
        <item x="1"/>
        <item x="2"/>
        <item x="3"/>
        <item x="4"/>
        <item x="5"/>
        <item x="6"/>
        <item x="7"/>
        <item x="8"/>
        <item x="9"/>
        <item x="10"/>
        <item x="11"/>
        <item t="default"/>
      </items>
    </pivotField>
    <pivotField showAll="0"/>
    <pivotField showAll="0"/>
    <pivotField showAll="0"/>
    <pivotField showAll="0"/>
    <pivotField axis="axisCol" dataField="1" showAll="0">
      <items count="3">
        <item x="1"/>
        <item x="0"/>
        <item t="default"/>
      </items>
    </pivotField>
  </pivotFields>
  <rowFields count="1">
    <field x="7"/>
  </rowFields>
  <rowItems count="10">
    <i>
      <x v="1"/>
    </i>
    <i>
      <x v="2"/>
    </i>
    <i>
      <x v="3"/>
    </i>
    <i>
      <x v="4"/>
    </i>
    <i>
      <x v="5"/>
    </i>
    <i>
      <x v="6"/>
    </i>
    <i>
      <x v="7"/>
    </i>
    <i>
      <x v="8"/>
    </i>
    <i>
      <x v="10"/>
    </i>
    <i t="grand">
      <x/>
    </i>
  </rowItems>
  <colFields count="1">
    <field x="12"/>
  </colFields>
  <colItems count="3">
    <i>
      <x/>
    </i>
    <i>
      <x v="1"/>
    </i>
    <i t="grand">
      <x/>
    </i>
  </colItems>
  <dataFields count="1">
    <dataField name="Count of Risk_Label" fld="12" subtotal="count" showDataAs="percentOfRow" baseField="0" baseItem="0" numFmtId="10"/>
  </dataFields>
  <chartFormats count="2">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82B9019-47E6-414A-B0D0-227C72A7709C}" name="PivotTable7"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H14" firstHeaderRow="1" firstDataRow="2" firstDataCol="1"/>
  <pivotFields count="13">
    <pivotField showAll="0"/>
    <pivotField showAll="0"/>
    <pivotField showAll="0"/>
    <pivotField showAll="0"/>
    <pivotField showAll="0"/>
    <pivotField showAll="0"/>
    <pivotField showAll="0">
      <items count="5">
        <item x="0"/>
        <item x="1"/>
        <item x="2"/>
        <item x="3"/>
        <item t="default"/>
      </items>
    </pivotField>
    <pivotField axis="axisRow" showAll="0">
      <items count="13">
        <item x="0"/>
        <item x="1"/>
        <item x="2"/>
        <item x="3"/>
        <item x="4"/>
        <item x="5"/>
        <item x="6"/>
        <item x="7"/>
        <item x="8"/>
        <item x="9"/>
        <item x="10"/>
        <item x="11"/>
        <item t="default"/>
      </items>
    </pivotField>
    <pivotField showAll="0"/>
    <pivotField axis="axisCol" showAll="0">
      <items count="9">
        <item x="0"/>
        <item x="1"/>
        <item x="2"/>
        <item x="3"/>
        <item x="4"/>
        <item x="5"/>
        <item x="6"/>
        <item x="7"/>
        <item t="default"/>
      </items>
    </pivotField>
    <pivotField showAll="0"/>
    <pivotField showAll="0"/>
    <pivotField dataField="1" showAll="0"/>
  </pivotFields>
  <rowFields count="1">
    <field x="7"/>
  </rowFields>
  <rowItems count="10">
    <i>
      <x v="1"/>
    </i>
    <i>
      <x v="2"/>
    </i>
    <i>
      <x v="3"/>
    </i>
    <i>
      <x v="4"/>
    </i>
    <i>
      <x v="5"/>
    </i>
    <i>
      <x v="6"/>
    </i>
    <i>
      <x v="7"/>
    </i>
    <i>
      <x v="8"/>
    </i>
    <i>
      <x v="10"/>
    </i>
    <i t="grand">
      <x/>
    </i>
  </rowItems>
  <colFields count="1">
    <field x="9"/>
  </colFields>
  <colItems count="7">
    <i>
      <x v="1"/>
    </i>
    <i>
      <x v="2"/>
    </i>
    <i>
      <x v="3"/>
    </i>
    <i>
      <x v="4"/>
    </i>
    <i>
      <x v="5"/>
    </i>
    <i>
      <x v="6"/>
    </i>
    <i t="grand">
      <x/>
    </i>
  </colItems>
  <dataFields count="1">
    <dataField name="Count of Risk_Label" fld="12" subtotal="count" showDataAs="percentOfRow" baseField="0" baseItem="0" numFmtId="10"/>
  </dataFields>
  <formats count="13">
    <format dxfId="12">
      <pivotArea field="6" type="button" dataOnly="0" labelOnly="1" outline="0"/>
    </format>
    <format dxfId="11">
      <pivotArea dataOnly="0" labelOnly="1" fieldPosition="0">
        <references count="1">
          <reference field="9" count="6">
            <x v="1"/>
            <x v="2"/>
            <x v="3"/>
            <x v="4"/>
            <x v="5"/>
            <x v="6"/>
          </reference>
        </references>
      </pivotArea>
    </format>
    <format dxfId="10">
      <pivotArea dataOnly="0" labelOnly="1" grandCol="1" outline="0" fieldPosition="0"/>
    </format>
    <format dxfId="9">
      <pivotArea outline="0" collapsedLevelsAreSubtotals="1" fieldPosition="0"/>
    </format>
    <format dxfId="8">
      <pivotArea field="6" type="button" dataOnly="0" labelOnly="1" outline="0"/>
    </format>
    <format dxfId="7">
      <pivotArea dataOnly="0" labelOnly="1" grandRow="1" outline="0" fieldPosition="0"/>
    </format>
    <format dxfId="6">
      <pivotArea dataOnly="0" labelOnly="1" fieldPosition="0">
        <references count="1">
          <reference field="9" count="6">
            <x v="1"/>
            <x v="2"/>
            <x v="3"/>
            <x v="4"/>
            <x v="5"/>
            <x v="6"/>
          </reference>
        </references>
      </pivotArea>
    </format>
    <format dxfId="5">
      <pivotArea dataOnly="0" labelOnly="1" grandCol="1" outline="0" fieldPosition="0"/>
    </format>
    <format dxfId="4">
      <pivotArea outline="0" collapsedLevelsAreSubtotals="1" fieldPosition="0"/>
    </format>
    <format dxfId="3">
      <pivotArea field="6" type="button" dataOnly="0" labelOnly="1" outline="0"/>
    </format>
    <format dxfId="2">
      <pivotArea dataOnly="0" labelOnly="1" grandRow="1" outline="0" fieldPosition="0"/>
    </format>
    <format dxfId="1">
      <pivotArea dataOnly="0" labelOnly="1" fieldPosition="0">
        <references count="1">
          <reference field="9" count="6">
            <x v="1"/>
            <x v="2"/>
            <x v="3"/>
            <x v="4"/>
            <x v="5"/>
            <x v="6"/>
          </reference>
        </references>
      </pivotArea>
    </format>
    <format dxfId="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E9A03F0A-ADEE-4F32-BD73-76D608B89334}" sourceName="Sex">
  <pivotTables>
    <pivotTable tabId="8" name="PivotTable5"/>
  </pivotTables>
  <data>
    <tabular pivotCacheId="186001635">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using" xr10:uid="{D75A3517-DBB3-4367-8693-90B9DAE933E4}" sourceName="Housing">
  <pivotTables>
    <pivotTable tabId="8" name="PivotTable5"/>
  </pivotTables>
  <data>
    <tabular pivotCacheId="186001635">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pose" xr10:uid="{062E9DAD-4CC1-476B-8E11-5D1066E4FB13}" sourceName="Purpose">
  <pivotTables>
    <pivotTable tabId="8" name="PivotTable5"/>
  </pivotTables>
  <data>
    <tabular pivotCacheId="186001635">
      <items count="8">
        <i x="4"/>
        <i x="3" s="1"/>
        <i x="5"/>
        <i x="1"/>
        <i x="2"/>
        <i x="0"/>
        <i x="6"/>
        <i x="7"/>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x" xr10:uid="{453003D6-E40A-40D5-A806-9D759E5C54E3}" cache="Slicer_Sex" caption="Sex" rowHeight="251883"/>
  <slicer name="Housing" xr10:uid="{04152060-862A-454F-9174-9D38576334CD}" cache="Slicer_Housing" caption="Housing" rowHeight="251883"/>
  <slicer name="Purpose" xr10:uid="{64511FDA-4561-4E9D-8FBA-6CB3D43FA0C8}" cache="Slicer_Purpose" caption="Purpose"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95BC2-6134-4C93-A531-FAB61300E026}">
  <dimension ref="A1:S955"/>
  <sheetViews>
    <sheetView topLeftCell="C1" workbookViewId="0">
      <selection activeCell="G30" sqref="G30"/>
    </sheetView>
  </sheetViews>
  <sheetFormatPr defaultRowHeight="14.5" x14ac:dyDescent="0.35"/>
  <cols>
    <col min="1" max="1" width="10.54296875" customWidth="1"/>
    <col min="2" max="2" width="10.54296875" style="2" customWidth="1"/>
    <col min="3" max="3" width="6.36328125" customWidth="1"/>
    <col min="4" max="4" width="6.36328125" style="1" customWidth="1"/>
    <col min="5" max="5" width="8.7265625" customWidth="1"/>
    <col min="6" max="6" width="7.36328125" customWidth="1"/>
    <col min="7" max="7" width="14" customWidth="1"/>
    <col min="8" max="8" width="15.453125" customWidth="1"/>
    <col min="9" max="9" width="12.36328125" bestFit="1" customWidth="1"/>
    <col min="10" max="10" width="18.6328125" style="2" bestFit="1" customWidth="1"/>
    <col min="11" max="11" width="18.6328125" style="1" customWidth="1"/>
    <col min="12" max="12" width="19.453125" style="1" bestFit="1" customWidth="1"/>
    <col min="13" max="13" width="28.1796875" style="1" bestFit="1" customWidth="1"/>
    <col min="14" max="14" width="7.81640625" bestFit="1" customWidth="1"/>
    <col min="15" max="15" width="24" style="1" bestFit="1" customWidth="1"/>
    <col min="16" max="16" width="17.7265625" customWidth="1"/>
    <col min="17" max="17" width="17.7265625" style="1" customWidth="1"/>
    <col min="18" max="18" width="9.54296875" bestFit="1" customWidth="1"/>
    <col min="19" max="19" width="8.7265625" style="2"/>
  </cols>
  <sheetData>
    <row r="1" spans="1:19" x14ac:dyDescent="0.35">
      <c r="A1" t="s">
        <v>0</v>
      </c>
      <c r="B1" s="2" t="s">
        <v>36</v>
      </c>
      <c r="C1" t="s">
        <v>1</v>
      </c>
      <c r="D1" s="1" t="s">
        <v>30</v>
      </c>
      <c r="E1" t="s">
        <v>2</v>
      </c>
      <c r="F1" t="s">
        <v>3</v>
      </c>
      <c r="G1" t="s">
        <v>4</v>
      </c>
      <c r="H1" t="s">
        <v>5</v>
      </c>
      <c r="I1" t="s">
        <v>6</v>
      </c>
      <c r="J1" s="2" t="s">
        <v>40</v>
      </c>
      <c r="K1" s="1" t="s">
        <v>40</v>
      </c>
      <c r="L1" s="1" t="s">
        <v>29</v>
      </c>
      <c r="M1" s="1" t="s">
        <v>28</v>
      </c>
      <c r="N1" t="s">
        <v>7</v>
      </c>
      <c r="O1" s="1" t="s">
        <v>32</v>
      </c>
      <c r="P1" t="s">
        <v>8</v>
      </c>
      <c r="Q1" s="1" t="s">
        <v>31</v>
      </c>
      <c r="R1" t="s">
        <v>9</v>
      </c>
      <c r="S1" s="2" t="s">
        <v>33</v>
      </c>
    </row>
    <row r="2" spans="1:19" x14ac:dyDescent="0.35">
      <c r="A2">
        <v>67</v>
      </c>
      <c r="B2" s="2" t="s">
        <v>37</v>
      </c>
      <c r="C2" t="s">
        <v>19</v>
      </c>
      <c r="D2" s="1" t="str" cm="1">
        <f t="array" ref="D2:D955">TRIM(C2:C955)</f>
        <v>Male</v>
      </c>
      <c r="E2">
        <v>2</v>
      </c>
      <c r="F2" t="s">
        <v>21</v>
      </c>
      <c r="G2" t="s">
        <v>10</v>
      </c>
      <c r="H2" t="s">
        <v>24</v>
      </c>
      <c r="I2">
        <v>1169</v>
      </c>
      <c r="J2" s="2" t="s">
        <v>41</v>
      </c>
      <c r="K2" s="1" t="str">
        <f>IF(J2=TRIM(J2),"Clean","Has Spaces")</f>
        <v>Has Spaces</v>
      </c>
      <c r="L2" s="1" t="b" cm="1">
        <f t="array" ref="L2:L955">ISNUMBER(I2:I955)</f>
        <v>1</v>
      </c>
      <c r="M2" s="1" t="str">
        <f>IF(I2&gt;0,"Valid", "Invalid")</f>
        <v>Valid</v>
      </c>
      <c r="N2">
        <v>6</v>
      </c>
      <c r="O2" s="1" t="str">
        <f>IF(N2&lt;=0,"invalid", "Valid")</f>
        <v>Valid</v>
      </c>
      <c r="P2" t="s">
        <v>11</v>
      </c>
      <c r="Q2" s="1" t="str" cm="1">
        <f t="array" ref="Q2:Q955">PROPER(P2:P955)</f>
        <v>Radio/Tv</v>
      </c>
      <c r="R2">
        <v>1</v>
      </c>
      <c r="S2" s="2" t="s">
        <v>34</v>
      </c>
    </row>
    <row r="3" spans="1:19" x14ac:dyDescent="0.35">
      <c r="A3">
        <v>22</v>
      </c>
      <c r="B3" s="2" t="s">
        <v>38</v>
      </c>
      <c r="C3" t="s">
        <v>20</v>
      </c>
      <c r="D3" s="1" t="str">
        <v>Female</v>
      </c>
      <c r="E3">
        <v>2</v>
      </c>
      <c r="F3" t="s">
        <v>21</v>
      </c>
      <c r="G3" t="s">
        <v>24</v>
      </c>
      <c r="H3" t="s">
        <v>27</v>
      </c>
      <c r="I3">
        <v>5951</v>
      </c>
      <c r="J3" s="2" t="s">
        <v>42</v>
      </c>
      <c r="K3" s="1" t="str">
        <f t="shared" ref="K3:K66" si="0">IF(J3=TRIM(J3),"Clean","Has Spaces")</f>
        <v>Clean</v>
      </c>
      <c r="L3" s="1" t="b">
        <v>1</v>
      </c>
      <c r="M3" s="1" t="str">
        <f t="shared" ref="M3:M66" si="1">IF(I3&gt;0,"Valid", "Invalid")</f>
        <v>Valid</v>
      </c>
      <c r="N3">
        <v>48</v>
      </c>
      <c r="O3" s="1" t="str">
        <f t="shared" ref="O3:O66" si="2">IF(N3&lt;=0,"invalid", "Valid")</f>
        <v>Valid</v>
      </c>
      <c r="P3" t="s">
        <v>11</v>
      </c>
      <c r="Q3" s="1" t="str">
        <v>Radio/Tv</v>
      </c>
      <c r="R3">
        <v>2</v>
      </c>
      <c r="S3" s="2" t="s">
        <v>35</v>
      </c>
    </row>
    <row r="4" spans="1:19" x14ac:dyDescent="0.35">
      <c r="A4">
        <v>49</v>
      </c>
      <c r="B4" s="2" t="s">
        <v>39</v>
      </c>
      <c r="C4" t="s">
        <v>19</v>
      </c>
      <c r="D4" s="1" t="str">
        <v>Male</v>
      </c>
      <c r="E4">
        <v>1</v>
      </c>
      <c r="F4" t="s">
        <v>21</v>
      </c>
      <c r="G4" t="s">
        <v>24</v>
      </c>
      <c r="H4" t="s">
        <v>10</v>
      </c>
      <c r="I4">
        <v>2096</v>
      </c>
      <c r="J4" s="2" t="s">
        <v>43</v>
      </c>
      <c r="K4" s="1" t="str">
        <f t="shared" si="0"/>
        <v>Clean</v>
      </c>
      <c r="L4" s="1" t="b">
        <v>1</v>
      </c>
      <c r="M4" s="1" t="str">
        <f t="shared" si="1"/>
        <v>Valid</v>
      </c>
      <c r="N4">
        <v>12</v>
      </c>
      <c r="O4" s="1" t="str">
        <f t="shared" si="2"/>
        <v>Valid</v>
      </c>
      <c r="P4" t="s">
        <v>12</v>
      </c>
      <c r="Q4" s="1" t="str">
        <v>Education</v>
      </c>
      <c r="R4">
        <v>1</v>
      </c>
      <c r="S4" s="2" t="s">
        <v>34</v>
      </c>
    </row>
    <row r="5" spans="1:19" x14ac:dyDescent="0.35">
      <c r="A5">
        <v>45</v>
      </c>
      <c r="B5" s="2" t="s">
        <v>39</v>
      </c>
      <c r="C5" t="s">
        <v>19</v>
      </c>
      <c r="D5" s="1" t="str">
        <v>Male</v>
      </c>
      <c r="E5">
        <v>2</v>
      </c>
      <c r="F5" t="s">
        <v>22</v>
      </c>
      <c r="G5" t="s">
        <v>24</v>
      </c>
      <c r="H5" t="s">
        <v>24</v>
      </c>
      <c r="I5">
        <v>7882</v>
      </c>
      <c r="J5" s="2" t="s">
        <v>42</v>
      </c>
      <c r="K5" s="1" t="str">
        <f t="shared" si="0"/>
        <v>Clean</v>
      </c>
      <c r="L5" s="1" t="b">
        <v>1</v>
      </c>
      <c r="M5" s="1" t="str">
        <f t="shared" si="1"/>
        <v>Valid</v>
      </c>
      <c r="N5">
        <v>42</v>
      </c>
      <c r="O5" s="1" t="str">
        <f t="shared" si="2"/>
        <v>Valid</v>
      </c>
      <c r="P5" t="s">
        <v>13</v>
      </c>
      <c r="Q5" s="1" t="str">
        <v>Furniture/Equipment</v>
      </c>
      <c r="R5">
        <v>1</v>
      </c>
      <c r="S5" s="2" t="s">
        <v>34</v>
      </c>
    </row>
    <row r="6" spans="1:19" x14ac:dyDescent="0.35">
      <c r="A6">
        <v>53</v>
      </c>
      <c r="B6" s="2" t="s">
        <v>37</v>
      </c>
      <c r="C6" t="s">
        <v>19</v>
      </c>
      <c r="D6" s="1" t="str">
        <v>Male</v>
      </c>
      <c r="E6">
        <v>2</v>
      </c>
      <c r="F6" t="s">
        <v>22</v>
      </c>
      <c r="G6" t="s">
        <v>24</v>
      </c>
      <c r="H6" t="s">
        <v>24</v>
      </c>
      <c r="I6">
        <v>4870</v>
      </c>
      <c r="J6" s="2" t="s">
        <v>43</v>
      </c>
      <c r="K6" s="1" t="str">
        <f t="shared" si="0"/>
        <v>Clean</v>
      </c>
      <c r="L6" s="1" t="b">
        <v>1</v>
      </c>
      <c r="M6" s="1" t="str">
        <f t="shared" si="1"/>
        <v>Valid</v>
      </c>
      <c r="N6">
        <v>24</v>
      </c>
      <c r="O6" s="1" t="str">
        <f t="shared" si="2"/>
        <v>Valid</v>
      </c>
      <c r="P6" t="s">
        <v>14</v>
      </c>
      <c r="Q6" s="1" t="str">
        <v>Car</v>
      </c>
      <c r="R6">
        <v>2</v>
      </c>
      <c r="S6" s="2" t="s">
        <v>35</v>
      </c>
    </row>
    <row r="7" spans="1:19" x14ac:dyDescent="0.35">
      <c r="A7">
        <v>35</v>
      </c>
      <c r="B7" s="2" t="s">
        <v>39</v>
      </c>
      <c r="C7" t="s">
        <v>19</v>
      </c>
      <c r="D7" s="1" t="str">
        <v>Male</v>
      </c>
      <c r="E7">
        <v>1</v>
      </c>
      <c r="F7" t="s">
        <v>22</v>
      </c>
      <c r="G7" t="s">
        <v>10</v>
      </c>
      <c r="H7" t="s">
        <v>10</v>
      </c>
      <c r="I7">
        <v>9055</v>
      </c>
      <c r="J7" s="2" t="s">
        <v>42</v>
      </c>
      <c r="K7" s="1" t="str">
        <f t="shared" si="0"/>
        <v>Clean</v>
      </c>
      <c r="L7" s="1" t="b">
        <v>1</v>
      </c>
      <c r="M7" s="1" t="str">
        <f t="shared" si="1"/>
        <v>Valid</v>
      </c>
      <c r="N7">
        <v>36</v>
      </c>
      <c r="O7" s="1" t="str">
        <f t="shared" si="2"/>
        <v>Valid</v>
      </c>
      <c r="P7" t="s">
        <v>12</v>
      </c>
      <c r="Q7" s="1" t="str">
        <v>Education</v>
      </c>
      <c r="R7">
        <v>1</v>
      </c>
      <c r="S7" s="2" t="s">
        <v>34</v>
      </c>
    </row>
    <row r="8" spans="1:19" x14ac:dyDescent="0.35">
      <c r="A8">
        <v>53</v>
      </c>
      <c r="B8" s="2" t="s">
        <v>37</v>
      </c>
      <c r="C8" t="s">
        <v>19</v>
      </c>
      <c r="D8" s="1" t="str">
        <v>Male</v>
      </c>
      <c r="E8">
        <v>2</v>
      </c>
      <c r="F8" t="s">
        <v>21</v>
      </c>
      <c r="G8" t="s">
        <v>25</v>
      </c>
      <c r="H8" t="s">
        <v>10</v>
      </c>
      <c r="I8">
        <v>2835</v>
      </c>
      <c r="J8" s="2" t="s">
        <v>43</v>
      </c>
      <c r="K8" s="1" t="str">
        <f t="shared" si="0"/>
        <v>Clean</v>
      </c>
      <c r="L8" s="1" t="b">
        <v>1</v>
      </c>
      <c r="M8" s="1" t="str">
        <f t="shared" si="1"/>
        <v>Valid</v>
      </c>
      <c r="N8">
        <v>24</v>
      </c>
      <c r="O8" s="1" t="str">
        <f t="shared" si="2"/>
        <v>Valid</v>
      </c>
      <c r="P8" t="s">
        <v>13</v>
      </c>
      <c r="Q8" s="1" t="str">
        <v>Furniture/Equipment</v>
      </c>
      <c r="R8">
        <v>1</v>
      </c>
      <c r="S8" s="2" t="s">
        <v>34</v>
      </c>
    </row>
    <row r="9" spans="1:19" x14ac:dyDescent="0.35">
      <c r="A9">
        <v>35</v>
      </c>
      <c r="B9" s="2" t="s">
        <v>39</v>
      </c>
      <c r="C9" t="s">
        <v>19</v>
      </c>
      <c r="D9" s="1" t="str">
        <v>Male</v>
      </c>
      <c r="E9">
        <v>3</v>
      </c>
      <c r="F9" t="s">
        <v>23</v>
      </c>
      <c r="G9" t="s">
        <v>24</v>
      </c>
      <c r="H9" t="s">
        <v>27</v>
      </c>
      <c r="I9">
        <v>6948</v>
      </c>
      <c r="J9" s="2" t="s">
        <v>42</v>
      </c>
      <c r="K9" s="1" t="str">
        <f t="shared" si="0"/>
        <v>Clean</v>
      </c>
      <c r="L9" s="1" t="b">
        <v>1</v>
      </c>
      <c r="M9" s="1" t="str">
        <f t="shared" si="1"/>
        <v>Valid</v>
      </c>
      <c r="N9">
        <v>36</v>
      </c>
      <c r="O9" s="1" t="str">
        <f t="shared" si="2"/>
        <v>Valid</v>
      </c>
      <c r="P9" t="s">
        <v>14</v>
      </c>
      <c r="Q9" s="1" t="str">
        <v>Car</v>
      </c>
      <c r="R9">
        <v>1</v>
      </c>
      <c r="S9" s="2" t="s">
        <v>34</v>
      </c>
    </row>
    <row r="10" spans="1:19" x14ac:dyDescent="0.35">
      <c r="A10">
        <v>61</v>
      </c>
      <c r="B10" s="2" t="s">
        <v>37</v>
      </c>
      <c r="C10" t="s">
        <v>19</v>
      </c>
      <c r="D10" s="1" t="str">
        <v>Male</v>
      </c>
      <c r="E10">
        <v>1</v>
      </c>
      <c r="F10" t="s">
        <v>21</v>
      </c>
      <c r="G10" t="s">
        <v>26</v>
      </c>
      <c r="H10" t="s">
        <v>10</v>
      </c>
      <c r="I10">
        <v>3059</v>
      </c>
      <c r="J10" s="2" t="s">
        <v>43</v>
      </c>
      <c r="K10" s="1" t="str">
        <f t="shared" si="0"/>
        <v>Clean</v>
      </c>
      <c r="L10" s="1" t="b">
        <v>1</v>
      </c>
      <c r="M10" s="1" t="str">
        <f t="shared" si="1"/>
        <v>Valid</v>
      </c>
      <c r="N10">
        <v>12</v>
      </c>
      <c r="O10" s="1" t="str">
        <f t="shared" si="2"/>
        <v>Valid</v>
      </c>
      <c r="P10" t="s">
        <v>11</v>
      </c>
      <c r="Q10" s="1" t="str">
        <v>Radio/Tv</v>
      </c>
      <c r="R10">
        <v>1</v>
      </c>
      <c r="S10" s="2" t="s">
        <v>34</v>
      </c>
    </row>
    <row r="11" spans="1:19" x14ac:dyDescent="0.35">
      <c r="A11">
        <v>28</v>
      </c>
      <c r="B11" s="2" t="s">
        <v>38</v>
      </c>
      <c r="C11" t="s">
        <v>19</v>
      </c>
      <c r="D11" s="1" t="str">
        <v>Male</v>
      </c>
      <c r="E11">
        <v>3</v>
      </c>
      <c r="F11" t="s">
        <v>21</v>
      </c>
      <c r="G11" t="s">
        <v>24</v>
      </c>
      <c r="H11" t="s">
        <v>27</v>
      </c>
      <c r="I11">
        <v>5234</v>
      </c>
      <c r="J11" s="2" t="s">
        <v>42</v>
      </c>
      <c r="K11" s="1" t="str">
        <f t="shared" si="0"/>
        <v>Clean</v>
      </c>
      <c r="L11" s="1" t="b">
        <v>1</v>
      </c>
      <c r="M11" s="1" t="str">
        <f t="shared" si="1"/>
        <v>Valid</v>
      </c>
      <c r="N11">
        <v>30</v>
      </c>
      <c r="O11" s="1" t="str">
        <f t="shared" si="2"/>
        <v>Valid</v>
      </c>
      <c r="P11" t="s">
        <v>14</v>
      </c>
      <c r="Q11" s="1" t="str">
        <v>Car</v>
      </c>
      <c r="R11">
        <v>2</v>
      </c>
      <c r="S11" s="2" t="s">
        <v>35</v>
      </c>
    </row>
    <row r="12" spans="1:19" x14ac:dyDescent="0.35">
      <c r="A12">
        <v>25</v>
      </c>
      <c r="B12" s="2" t="s">
        <v>38</v>
      </c>
      <c r="C12" t="s">
        <v>20</v>
      </c>
      <c r="D12" s="1" t="str">
        <v>Female</v>
      </c>
      <c r="E12">
        <v>2</v>
      </c>
      <c r="F12" t="s">
        <v>23</v>
      </c>
      <c r="G12" t="s">
        <v>24</v>
      </c>
      <c r="H12" t="s">
        <v>27</v>
      </c>
      <c r="I12">
        <v>1295</v>
      </c>
      <c r="J12" s="2" t="s">
        <v>41</v>
      </c>
      <c r="K12" s="1" t="str">
        <f t="shared" si="0"/>
        <v>Has Spaces</v>
      </c>
      <c r="L12" s="1" t="b">
        <v>1</v>
      </c>
      <c r="M12" s="1" t="str">
        <f t="shared" si="1"/>
        <v>Valid</v>
      </c>
      <c r="N12">
        <v>12</v>
      </c>
      <c r="O12" s="1" t="str">
        <f t="shared" si="2"/>
        <v>Valid</v>
      </c>
      <c r="P12" t="s">
        <v>14</v>
      </c>
      <c r="Q12" s="1" t="str">
        <v>Car</v>
      </c>
      <c r="R12">
        <v>2</v>
      </c>
      <c r="S12" s="2" t="s">
        <v>35</v>
      </c>
    </row>
    <row r="13" spans="1:19" x14ac:dyDescent="0.35">
      <c r="A13">
        <v>24</v>
      </c>
      <c r="B13" s="2" t="s">
        <v>38</v>
      </c>
      <c r="C13" t="s">
        <v>20</v>
      </c>
      <c r="D13" s="1" t="str">
        <v>Female</v>
      </c>
      <c r="E13">
        <v>2</v>
      </c>
      <c r="F13" t="s">
        <v>23</v>
      </c>
      <c r="G13" t="s">
        <v>24</v>
      </c>
      <c r="H13" t="s">
        <v>24</v>
      </c>
      <c r="I13">
        <v>4308</v>
      </c>
      <c r="J13" s="2" t="s">
        <v>43</v>
      </c>
      <c r="K13" s="1" t="str">
        <f t="shared" si="0"/>
        <v>Clean</v>
      </c>
      <c r="L13" s="1" t="b">
        <v>1</v>
      </c>
      <c r="M13" s="1" t="str">
        <f t="shared" si="1"/>
        <v>Valid</v>
      </c>
      <c r="N13">
        <v>48</v>
      </c>
      <c r="O13" s="1" t="str">
        <f t="shared" si="2"/>
        <v>Valid</v>
      </c>
      <c r="P13" t="s">
        <v>15</v>
      </c>
      <c r="Q13" s="1" t="str">
        <v>Business</v>
      </c>
      <c r="R13">
        <v>2</v>
      </c>
      <c r="S13" s="2" t="s">
        <v>35</v>
      </c>
    </row>
    <row r="14" spans="1:19" x14ac:dyDescent="0.35">
      <c r="A14">
        <v>22</v>
      </c>
      <c r="B14" s="2" t="s">
        <v>38</v>
      </c>
      <c r="C14" t="s">
        <v>20</v>
      </c>
      <c r="D14" s="1" t="str">
        <v>Female</v>
      </c>
      <c r="E14">
        <v>2</v>
      </c>
      <c r="F14" t="s">
        <v>21</v>
      </c>
      <c r="G14" t="s">
        <v>24</v>
      </c>
      <c r="H14" t="s">
        <v>27</v>
      </c>
      <c r="I14">
        <v>1567</v>
      </c>
      <c r="J14" s="2" t="s">
        <v>41</v>
      </c>
      <c r="K14" s="1" t="str">
        <f t="shared" si="0"/>
        <v>Has Spaces</v>
      </c>
      <c r="L14" s="1" t="b">
        <v>1</v>
      </c>
      <c r="M14" s="1" t="str">
        <f t="shared" si="1"/>
        <v>Valid</v>
      </c>
      <c r="N14">
        <v>12</v>
      </c>
      <c r="O14" s="1" t="str">
        <f t="shared" si="2"/>
        <v>Valid</v>
      </c>
      <c r="P14" t="s">
        <v>11</v>
      </c>
      <c r="Q14" s="1" t="str">
        <v>Radio/Tv</v>
      </c>
      <c r="R14">
        <v>1</v>
      </c>
      <c r="S14" s="2" t="s">
        <v>34</v>
      </c>
    </row>
    <row r="15" spans="1:19" x14ac:dyDescent="0.35">
      <c r="A15">
        <v>60</v>
      </c>
      <c r="B15" s="2" t="s">
        <v>37</v>
      </c>
      <c r="C15" t="s">
        <v>19</v>
      </c>
      <c r="D15" s="1" t="str">
        <v>Male</v>
      </c>
      <c r="E15">
        <v>1</v>
      </c>
      <c r="F15" t="s">
        <v>21</v>
      </c>
      <c r="G15" t="s">
        <v>24</v>
      </c>
      <c r="H15" t="s">
        <v>24</v>
      </c>
      <c r="I15">
        <v>1199</v>
      </c>
      <c r="J15" s="2" t="s">
        <v>41</v>
      </c>
      <c r="K15" s="1" t="str">
        <f t="shared" si="0"/>
        <v>Has Spaces</v>
      </c>
      <c r="L15" s="1" t="b">
        <v>1</v>
      </c>
      <c r="M15" s="1" t="str">
        <f t="shared" si="1"/>
        <v>Valid</v>
      </c>
      <c r="N15">
        <v>24</v>
      </c>
      <c r="O15" s="1" t="str">
        <f t="shared" si="2"/>
        <v>Valid</v>
      </c>
      <c r="P15" t="s">
        <v>14</v>
      </c>
      <c r="Q15" s="1" t="str">
        <v>Car</v>
      </c>
      <c r="R15">
        <v>2</v>
      </c>
      <c r="S15" s="2" t="s">
        <v>35</v>
      </c>
    </row>
    <row r="16" spans="1:19" x14ac:dyDescent="0.35">
      <c r="A16">
        <v>28</v>
      </c>
      <c r="B16" s="2" t="s">
        <v>38</v>
      </c>
      <c r="C16" t="s">
        <v>20</v>
      </c>
      <c r="D16" s="1" t="str">
        <v>Female</v>
      </c>
      <c r="E16">
        <v>2</v>
      </c>
      <c r="F16" t="s">
        <v>23</v>
      </c>
      <c r="G16" t="s">
        <v>24</v>
      </c>
      <c r="H16" t="s">
        <v>24</v>
      </c>
      <c r="I16">
        <v>1403</v>
      </c>
      <c r="J16" s="2" t="s">
        <v>41</v>
      </c>
      <c r="K16" s="1" t="str">
        <f t="shared" si="0"/>
        <v>Has Spaces</v>
      </c>
      <c r="L16" s="1" t="b">
        <v>1</v>
      </c>
      <c r="M16" s="1" t="str">
        <f t="shared" si="1"/>
        <v>Valid</v>
      </c>
      <c r="N16">
        <v>15</v>
      </c>
      <c r="O16" s="1" t="str">
        <f t="shared" si="2"/>
        <v>Valid</v>
      </c>
      <c r="P16" t="s">
        <v>14</v>
      </c>
      <c r="Q16" s="1" t="str">
        <v>Car</v>
      </c>
      <c r="R16">
        <v>1</v>
      </c>
      <c r="S16" s="2" t="s">
        <v>34</v>
      </c>
    </row>
    <row r="17" spans="1:19" x14ac:dyDescent="0.35">
      <c r="A17">
        <v>32</v>
      </c>
      <c r="B17" s="2" t="s">
        <v>39</v>
      </c>
      <c r="C17" t="s">
        <v>20</v>
      </c>
      <c r="D17" s="1" t="str">
        <v>Female</v>
      </c>
      <c r="E17">
        <v>1</v>
      </c>
      <c r="F17" t="s">
        <v>21</v>
      </c>
      <c r="G17" t="s">
        <v>27</v>
      </c>
      <c r="H17" t="s">
        <v>24</v>
      </c>
      <c r="I17">
        <v>1282</v>
      </c>
      <c r="J17" s="2" t="s">
        <v>41</v>
      </c>
      <c r="K17" s="1" t="str">
        <f t="shared" si="0"/>
        <v>Has Spaces</v>
      </c>
      <c r="L17" s="1" t="b">
        <v>1</v>
      </c>
      <c r="M17" s="1" t="str">
        <f t="shared" si="1"/>
        <v>Valid</v>
      </c>
      <c r="N17">
        <v>24</v>
      </c>
      <c r="O17" s="1" t="str">
        <f t="shared" si="2"/>
        <v>Valid</v>
      </c>
      <c r="P17" t="s">
        <v>11</v>
      </c>
      <c r="Q17" s="1" t="str">
        <v>Radio/Tv</v>
      </c>
      <c r="R17">
        <v>2</v>
      </c>
      <c r="S17" s="2" t="s">
        <v>35</v>
      </c>
    </row>
    <row r="18" spans="1:19" x14ac:dyDescent="0.35">
      <c r="A18">
        <v>53</v>
      </c>
      <c r="B18" s="2" t="s">
        <v>37</v>
      </c>
      <c r="C18" t="s">
        <v>19</v>
      </c>
      <c r="D18" s="1" t="str">
        <v>Male</v>
      </c>
      <c r="E18">
        <v>2</v>
      </c>
      <c r="F18" t="s">
        <v>21</v>
      </c>
      <c r="G18" t="s">
        <v>10</v>
      </c>
      <c r="H18" t="s">
        <v>10</v>
      </c>
      <c r="I18">
        <v>2424</v>
      </c>
      <c r="J18" s="2" t="s">
        <v>43</v>
      </c>
      <c r="K18" s="1" t="str">
        <f t="shared" si="0"/>
        <v>Clean</v>
      </c>
      <c r="L18" s="1" t="b">
        <v>1</v>
      </c>
      <c r="M18" s="1" t="str">
        <f t="shared" si="1"/>
        <v>Valid</v>
      </c>
      <c r="N18">
        <v>24</v>
      </c>
      <c r="O18" s="1" t="str">
        <f t="shared" si="2"/>
        <v>Valid</v>
      </c>
      <c r="P18" t="s">
        <v>11</v>
      </c>
      <c r="Q18" s="1" t="str">
        <v>Radio/Tv</v>
      </c>
      <c r="R18">
        <v>1</v>
      </c>
      <c r="S18" s="2" t="s">
        <v>34</v>
      </c>
    </row>
    <row r="19" spans="1:19" x14ac:dyDescent="0.35">
      <c r="A19">
        <v>25</v>
      </c>
      <c r="B19" s="2" t="s">
        <v>38</v>
      </c>
      <c r="C19" t="s">
        <v>19</v>
      </c>
      <c r="D19" s="1" t="str">
        <v>Male</v>
      </c>
      <c r="E19">
        <v>2</v>
      </c>
      <c r="F19" t="s">
        <v>21</v>
      </c>
      <c r="G19" t="s">
        <v>10</v>
      </c>
      <c r="H19" t="s">
        <v>24</v>
      </c>
      <c r="I19">
        <v>8072</v>
      </c>
      <c r="J19" s="2" t="s">
        <v>42</v>
      </c>
      <c r="K19" s="1" t="str">
        <f t="shared" si="0"/>
        <v>Clean</v>
      </c>
      <c r="L19" s="1" t="b">
        <v>1</v>
      </c>
      <c r="M19" s="1" t="str">
        <f t="shared" si="1"/>
        <v>Valid</v>
      </c>
      <c r="N19">
        <v>30</v>
      </c>
      <c r="O19" s="1" t="str">
        <f t="shared" si="2"/>
        <v>Valid</v>
      </c>
      <c r="P19" t="s">
        <v>15</v>
      </c>
      <c r="Q19" s="1" t="str">
        <v>Business</v>
      </c>
      <c r="R19">
        <v>1</v>
      </c>
      <c r="S19" s="2" t="s">
        <v>34</v>
      </c>
    </row>
    <row r="20" spans="1:19" x14ac:dyDescent="0.35">
      <c r="A20">
        <v>44</v>
      </c>
      <c r="B20" s="2" t="s">
        <v>39</v>
      </c>
      <c r="C20" t="s">
        <v>20</v>
      </c>
      <c r="D20" s="1" t="str">
        <v>Female</v>
      </c>
      <c r="E20">
        <v>3</v>
      </c>
      <c r="F20" t="s">
        <v>22</v>
      </c>
      <c r="G20" t="s">
        <v>24</v>
      </c>
      <c r="H20" t="s">
        <v>27</v>
      </c>
      <c r="I20">
        <v>12579</v>
      </c>
      <c r="J20" s="2" t="s">
        <v>42</v>
      </c>
      <c r="K20" s="1" t="str">
        <f t="shared" si="0"/>
        <v>Clean</v>
      </c>
      <c r="L20" s="1" t="b">
        <v>1</v>
      </c>
      <c r="M20" s="1" t="str">
        <f t="shared" si="1"/>
        <v>Valid</v>
      </c>
      <c r="N20">
        <v>24</v>
      </c>
      <c r="O20" s="1" t="str">
        <f t="shared" si="2"/>
        <v>Valid</v>
      </c>
      <c r="P20" t="s">
        <v>14</v>
      </c>
      <c r="Q20" s="1" t="str">
        <v>Car</v>
      </c>
      <c r="R20">
        <v>2</v>
      </c>
      <c r="S20" s="2" t="s">
        <v>35</v>
      </c>
    </row>
    <row r="21" spans="1:19" x14ac:dyDescent="0.35">
      <c r="A21">
        <v>31</v>
      </c>
      <c r="B21" s="2" t="s">
        <v>39</v>
      </c>
      <c r="C21" t="s">
        <v>19</v>
      </c>
      <c r="D21" s="1" t="str">
        <v>Male</v>
      </c>
      <c r="E21">
        <v>2</v>
      </c>
      <c r="F21" t="s">
        <v>21</v>
      </c>
      <c r="G21" t="s">
        <v>25</v>
      </c>
      <c r="H21" t="s">
        <v>10</v>
      </c>
      <c r="I21">
        <v>3430</v>
      </c>
      <c r="J21" s="2" t="s">
        <v>43</v>
      </c>
      <c r="K21" s="1" t="str">
        <f t="shared" si="0"/>
        <v>Clean</v>
      </c>
      <c r="L21" s="1" t="b">
        <v>1</v>
      </c>
      <c r="M21" s="1" t="str">
        <f t="shared" si="1"/>
        <v>Valid</v>
      </c>
      <c r="N21">
        <v>24</v>
      </c>
      <c r="O21" s="1" t="str">
        <f t="shared" si="2"/>
        <v>Valid</v>
      </c>
      <c r="P21" t="s">
        <v>11</v>
      </c>
      <c r="Q21" s="1" t="str">
        <v>Radio/Tv</v>
      </c>
      <c r="R21">
        <v>1</v>
      </c>
      <c r="S21" s="2" t="s">
        <v>34</v>
      </c>
    </row>
    <row r="22" spans="1:19" x14ac:dyDescent="0.35">
      <c r="A22">
        <v>48</v>
      </c>
      <c r="B22" s="2" t="s">
        <v>39</v>
      </c>
      <c r="C22" t="s">
        <v>19</v>
      </c>
      <c r="D22" s="1" t="str">
        <v>Male</v>
      </c>
      <c r="E22">
        <v>2</v>
      </c>
      <c r="F22" t="s">
        <v>21</v>
      </c>
      <c r="G22" t="s">
        <v>24</v>
      </c>
      <c r="H22" t="s">
        <v>10</v>
      </c>
      <c r="I22">
        <v>2134</v>
      </c>
      <c r="J22" s="2" t="s">
        <v>43</v>
      </c>
      <c r="K22" s="1" t="str">
        <f t="shared" si="0"/>
        <v>Clean</v>
      </c>
      <c r="L22" s="1" t="b">
        <v>1</v>
      </c>
      <c r="M22" s="1" t="str">
        <f t="shared" si="1"/>
        <v>Valid</v>
      </c>
      <c r="N22">
        <v>9</v>
      </c>
      <c r="O22" s="1" t="str">
        <f t="shared" si="2"/>
        <v>Valid</v>
      </c>
      <c r="P22" t="s">
        <v>14</v>
      </c>
      <c r="Q22" s="1" t="str">
        <v>Car</v>
      </c>
      <c r="R22">
        <v>1</v>
      </c>
      <c r="S22" s="2" t="s">
        <v>34</v>
      </c>
    </row>
    <row r="23" spans="1:19" x14ac:dyDescent="0.35">
      <c r="A23">
        <v>44</v>
      </c>
      <c r="B23" s="2" t="s">
        <v>39</v>
      </c>
      <c r="C23" t="s">
        <v>19</v>
      </c>
      <c r="D23" s="1" t="str">
        <v>Male</v>
      </c>
      <c r="E23">
        <v>2</v>
      </c>
      <c r="F23" t="s">
        <v>23</v>
      </c>
      <c r="G23" t="s">
        <v>25</v>
      </c>
      <c r="H23" t="s">
        <v>24</v>
      </c>
      <c r="I23">
        <v>2647</v>
      </c>
      <c r="J23" s="2" t="s">
        <v>43</v>
      </c>
      <c r="K23" s="1" t="str">
        <f t="shared" si="0"/>
        <v>Clean</v>
      </c>
      <c r="L23" s="1" t="b">
        <v>1</v>
      </c>
      <c r="M23" s="1" t="str">
        <f t="shared" si="1"/>
        <v>Valid</v>
      </c>
      <c r="N23">
        <v>6</v>
      </c>
      <c r="O23" s="1" t="str">
        <f t="shared" si="2"/>
        <v>Valid</v>
      </c>
      <c r="P23" t="s">
        <v>11</v>
      </c>
      <c r="Q23" s="1" t="str">
        <v>Radio/Tv</v>
      </c>
      <c r="R23">
        <v>1</v>
      </c>
      <c r="S23" s="2" t="s">
        <v>34</v>
      </c>
    </row>
    <row r="24" spans="1:19" x14ac:dyDescent="0.35">
      <c r="A24">
        <v>48</v>
      </c>
      <c r="B24" s="2" t="s">
        <v>39</v>
      </c>
      <c r="C24" t="s">
        <v>19</v>
      </c>
      <c r="D24" s="1" t="str">
        <v>Male</v>
      </c>
      <c r="E24">
        <v>1</v>
      </c>
      <c r="F24" t="s">
        <v>23</v>
      </c>
      <c r="G24" t="s">
        <v>24</v>
      </c>
      <c r="H24" t="s">
        <v>24</v>
      </c>
      <c r="I24">
        <v>2241</v>
      </c>
      <c r="J24" s="2" t="s">
        <v>43</v>
      </c>
      <c r="K24" s="1" t="str">
        <f t="shared" si="0"/>
        <v>Clean</v>
      </c>
      <c r="L24" s="1" t="b">
        <v>1</v>
      </c>
      <c r="M24" s="1" t="str">
        <f t="shared" si="1"/>
        <v>Valid</v>
      </c>
      <c r="N24">
        <v>10</v>
      </c>
      <c r="O24" s="1" t="str">
        <f t="shared" si="2"/>
        <v>Valid</v>
      </c>
      <c r="P24" t="s">
        <v>14</v>
      </c>
      <c r="Q24" s="1" t="str">
        <v>Car</v>
      </c>
      <c r="R24">
        <v>1</v>
      </c>
      <c r="S24" s="2" t="s">
        <v>34</v>
      </c>
    </row>
    <row r="25" spans="1:19" x14ac:dyDescent="0.35">
      <c r="A25">
        <v>44</v>
      </c>
      <c r="B25" s="2" t="s">
        <v>39</v>
      </c>
      <c r="C25" t="s">
        <v>19</v>
      </c>
      <c r="D25" s="1" t="str">
        <v>Male</v>
      </c>
      <c r="E25">
        <v>2</v>
      </c>
      <c r="F25" t="s">
        <v>21</v>
      </c>
      <c r="G25" t="s">
        <v>27</v>
      </c>
      <c r="H25" t="s">
        <v>27</v>
      </c>
      <c r="I25">
        <v>1804</v>
      </c>
      <c r="J25" s="2" t="s">
        <v>41</v>
      </c>
      <c r="K25" s="1" t="str">
        <f t="shared" si="0"/>
        <v>Has Spaces</v>
      </c>
      <c r="L25" s="1" t="b">
        <v>1</v>
      </c>
      <c r="M25" s="1" t="str">
        <f t="shared" si="1"/>
        <v>Valid</v>
      </c>
      <c r="N25">
        <v>12</v>
      </c>
      <c r="O25" s="1" t="str">
        <f t="shared" si="2"/>
        <v>Valid</v>
      </c>
      <c r="P25" t="s">
        <v>14</v>
      </c>
      <c r="Q25" s="1" t="str">
        <v>Car</v>
      </c>
      <c r="R25">
        <v>1</v>
      </c>
      <c r="S25" s="2" t="s">
        <v>34</v>
      </c>
    </row>
    <row r="26" spans="1:19" x14ac:dyDescent="0.35">
      <c r="A26">
        <v>26</v>
      </c>
      <c r="B26" s="2" t="s">
        <v>38</v>
      </c>
      <c r="C26" t="s">
        <v>19</v>
      </c>
      <c r="D26" s="1" t="str">
        <v>Male</v>
      </c>
      <c r="E26">
        <v>2</v>
      </c>
      <c r="F26" t="s">
        <v>21</v>
      </c>
      <c r="G26" t="s">
        <v>10</v>
      </c>
      <c r="H26" t="s">
        <v>10</v>
      </c>
      <c r="I26">
        <v>2069</v>
      </c>
      <c r="J26" s="2" t="s">
        <v>43</v>
      </c>
      <c r="K26" s="1" t="str">
        <f t="shared" si="0"/>
        <v>Clean</v>
      </c>
      <c r="L26" s="1" t="b">
        <v>1</v>
      </c>
      <c r="M26" s="1" t="str">
        <f t="shared" si="1"/>
        <v>Valid</v>
      </c>
      <c r="N26">
        <v>10</v>
      </c>
      <c r="O26" s="1" t="str">
        <f t="shared" si="2"/>
        <v>Valid</v>
      </c>
      <c r="P26" t="s">
        <v>13</v>
      </c>
      <c r="Q26" s="1" t="str">
        <v>Furniture/Equipment</v>
      </c>
      <c r="R26">
        <v>1</v>
      </c>
      <c r="S26" s="2" t="s">
        <v>34</v>
      </c>
    </row>
    <row r="27" spans="1:19" x14ac:dyDescent="0.35">
      <c r="A27">
        <v>36</v>
      </c>
      <c r="B27" s="2" t="s">
        <v>39</v>
      </c>
      <c r="C27" t="s">
        <v>19</v>
      </c>
      <c r="D27" s="1" t="str">
        <v>Male</v>
      </c>
      <c r="E27">
        <v>1</v>
      </c>
      <c r="F27" t="s">
        <v>21</v>
      </c>
      <c r="G27" t="s">
        <v>24</v>
      </c>
      <c r="H27" t="s">
        <v>24</v>
      </c>
      <c r="I27">
        <v>1374</v>
      </c>
      <c r="J27" s="2" t="s">
        <v>41</v>
      </c>
      <c r="K27" s="1" t="str">
        <f t="shared" si="0"/>
        <v>Has Spaces</v>
      </c>
      <c r="L27" s="1" t="b">
        <v>1</v>
      </c>
      <c r="M27" s="1" t="str">
        <f t="shared" si="1"/>
        <v>Valid</v>
      </c>
      <c r="N27">
        <v>6</v>
      </c>
      <c r="O27" s="1" t="str">
        <f t="shared" si="2"/>
        <v>Valid</v>
      </c>
      <c r="P27" t="s">
        <v>13</v>
      </c>
      <c r="Q27" s="1" t="str">
        <v>Furniture/Equipment</v>
      </c>
      <c r="R27">
        <v>1</v>
      </c>
      <c r="S27" s="2" t="s">
        <v>34</v>
      </c>
    </row>
    <row r="28" spans="1:19" x14ac:dyDescent="0.35">
      <c r="A28">
        <v>39</v>
      </c>
      <c r="B28" s="2" t="s">
        <v>39</v>
      </c>
      <c r="C28" t="s">
        <v>19</v>
      </c>
      <c r="D28" s="1" t="str">
        <v>Male</v>
      </c>
      <c r="E28">
        <v>1</v>
      </c>
      <c r="F28" t="s">
        <v>21</v>
      </c>
      <c r="G28" t="s">
        <v>24</v>
      </c>
      <c r="H28" t="s">
        <v>10</v>
      </c>
      <c r="I28">
        <v>426</v>
      </c>
      <c r="J28" s="2" t="s">
        <v>41</v>
      </c>
      <c r="K28" s="1" t="str">
        <f t="shared" si="0"/>
        <v>Has Spaces</v>
      </c>
      <c r="L28" s="1" t="b">
        <v>1</v>
      </c>
      <c r="M28" s="1" t="str">
        <f t="shared" si="1"/>
        <v>Valid</v>
      </c>
      <c r="N28">
        <v>6</v>
      </c>
      <c r="O28" s="1" t="str">
        <f t="shared" si="2"/>
        <v>Valid</v>
      </c>
      <c r="P28" t="s">
        <v>11</v>
      </c>
      <c r="Q28" s="1" t="str">
        <v>Radio/Tv</v>
      </c>
      <c r="R28">
        <v>1</v>
      </c>
      <c r="S28" s="2" t="s">
        <v>34</v>
      </c>
    </row>
    <row r="29" spans="1:19" x14ac:dyDescent="0.35">
      <c r="A29">
        <v>42</v>
      </c>
      <c r="B29" s="2" t="s">
        <v>39</v>
      </c>
      <c r="C29" t="s">
        <v>20</v>
      </c>
      <c r="D29" s="1" t="str">
        <v>Female</v>
      </c>
      <c r="E29">
        <v>2</v>
      </c>
      <c r="F29" t="s">
        <v>23</v>
      </c>
      <c r="G29" t="s">
        <v>26</v>
      </c>
      <c r="H29" t="s">
        <v>26</v>
      </c>
      <c r="I29">
        <v>409</v>
      </c>
      <c r="J29" s="2" t="s">
        <v>41</v>
      </c>
      <c r="K29" s="1" t="str">
        <f t="shared" si="0"/>
        <v>Has Spaces</v>
      </c>
      <c r="L29" s="1" t="b">
        <v>1</v>
      </c>
      <c r="M29" s="1" t="str">
        <f t="shared" si="1"/>
        <v>Valid</v>
      </c>
      <c r="N29">
        <v>12</v>
      </c>
      <c r="O29" s="1" t="str">
        <f t="shared" si="2"/>
        <v>Valid</v>
      </c>
      <c r="P29" t="s">
        <v>11</v>
      </c>
      <c r="Q29" s="1" t="str">
        <v>Radio/Tv</v>
      </c>
      <c r="R29">
        <v>1</v>
      </c>
      <c r="S29" s="2" t="s">
        <v>34</v>
      </c>
    </row>
    <row r="30" spans="1:19" x14ac:dyDescent="0.35">
      <c r="A30">
        <v>34</v>
      </c>
      <c r="B30" s="2" t="s">
        <v>39</v>
      </c>
      <c r="C30" t="s">
        <v>19</v>
      </c>
      <c r="D30" s="1" t="str">
        <v>Male</v>
      </c>
      <c r="E30">
        <v>2</v>
      </c>
      <c r="F30" t="s">
        <v>21</v>
      </c>
      <c r="G30" t="s">
        <v>24</v>
      </c>
      <c r="H30" t="s">
        <v>27</v>
      </c>
      <c r="I30">
        <v>2415</v>
      </c>
      <c r="J30" s="2" t="s">
        <v>43</v>
      </c>
      <c r="K30" s="1" t="str">
        <f t="shared" si="0"/>
        <v>Clean</v>
      </c>
      <c r="L30" s="1" t="b">
        <v>1</v>
      </c>
      <c r="M30" s="1" t="str">
        <f t="shared" si="1"/>
        <v>Valid</v>
      </c>
      <c r="N30">
        <v>7</v>
      </c>
      <c r="O30" s="1" t="str">
        <f t="shared" si="2"/>
        <v>Valid</v>
      </c>
      <c r="P30" t="s">
        <v>11</v>
      </c>
      <c r="Q30" s="1" t="str">
        <v>Radio/Tv</v>
      </c>
      <c r="R30">
        <v>1</v>
      </c>
      <c r="S30" s="2" t="s">
        <v>34</v>
      </c>
    </row>
    <row r="31" spans="1:19" x14ac:dyDescent="0.35">
      <c r="A31">
        <v>63</v>
      </c>
      <c r="B31" s="2" t="s">
        <v>37</v>
      </c>
      <c r="C31" t="s">
        <v>19</v>
      </c>
      <c r="D31" s="1" t="str">
        <v>Male</v>
      </c>
      <c r="E31">
        <v>2</v>
      </c>
      <c r="F31" t="s">
        <v>21</v>
      </c>
      <c r="G31" t="s">
        <v>24</v>
      </c>
      <c r="H31" t="s">
        <v>24</v>
      </c>
      <c r="I31">
        <v>6836</v>
      </c>
      <c r="J31" s="2" t="s">
        <v>42</v>
      </c>
      <c r="K31" s="1" t="str">
        <f t="shared" si="0"/>
        <v>Clean</v>
      </c>
      <c r="L31" s="1" t="b">
        <v>1</v>
      </c>
      <c r="M31" s="1" t="str">
        <f t="shared" si="1"/>
        <v>Valid</v>
      </c>
      <c r="N31">
        <v>60</v>
      </c>
      <c r="O31" s="1" t="str">
        <f t="shared" si="2"/>
        <v>Valid</v>
      </c>
      <c r="P31" t="s">
        <v>15</v>
      </c>
      <c r="Q31" s="1" t="str">
        <v>Business</v>
      </c>
      <c r="R31">
        <v>2</v>
      </c>
      <c r="S31" s="2" t="s">
        <v>35</v>
      </c>
    </row>
    <row r="32" spans="1:19" x14ac:dyDescent="0.35">
      <c r="A32">
        <v>36</v>
      </c>
      <c r="B32" s="2" t="s">
        <v>39</v>
      </c>
      <c r="C32" t="s">
        <v>19</v>
      </c>
      <c r="D32" s="1" t="str">
        <v>Male</v>
      </c>
      <c r="E32">
        <v>2</v>
      </c>
      <c r="F32" t="s">
        <v>21</v>
      </c>
      <c r="G32" t="s">
        <v>26</v>
      </c>
      <c r="H32" t="s">
        <v>27</v>
      </c>
      <c r="I32">
        <v>1913</v>
      </c>
      <c r="J32" s="2" t="s">
        <v>41</v>
      </c>
      <c r="K32" s="1" t="str">
        <f t="shared" si="0"/>
        <v>Has Spaces</v>
      </c>
      <c r="L32" s="1" t="b">
        <v>1</v>
      </c>
      <c r="M32" s="1" t="str">
        <f t="shared" si="1"/>
        <v>Valid</v>
      </c>
      <c r="N32">
        <v>18</v>
      </c>
      <c r="O32" s="1" t="str">
        <f t="shared" si="2"/>
        <v>Valid</v>
      </c>
      <c r="P32" t="s">
        <v>15</v>
      </c>
      <c r="Q32" s="1" t="str">
        <v>Business</v>
      </c>
      <c r="R32">
        <v>1</v>
      </c>
      <c r="S32" s="2" t="s">
        <v>34</v>
      </c>
    </row>
    <row r="33" spans="1:19" x14ac:dyDescent="0.35">
      <c r="A33">
        <v>27</v>
      </c>
      <c r="B33" s="2" t="s">
        <v>38</v>
      </c>
      <c r="C33" t="s">
        <v>19</v>
      </c>
      <c r="D33" s="1" t="str">
        <v>Male</v>
      </c>
      <c r="E33">
        <v>2</v>
      </c>
      <c r="F33" t="s">
        <v>21</v>
      </c>
      <c r="G33" t="s">
        <v>24</v>
      </c>
      <c r="H33" t="s">
        <v>24</v>
      </c>
      <c r="I33">
        <v>4020</v>
      </c>
      <c r="J33" s="2" t="s">
        <v>43</v>
      </c>
      <c r="K33" s="1" t="str">
        <f t="shared" si="0"/>
        <v>Clean</v>
      </c>
      <c r="L33" s="1" t="b">
        <v>1</v>
      </c>
      <c r="M33" s="1" t="str">
        <f t="shared" si="1"/>
        <v>Valid</v>
      </c>
      <c r="N33">
        <v>24</v>
      </c>
      <c r="O33" s="1" t="str">
        <f t="shared" si="2"/>
        <v>Valid</v>
      </c>
      <c r="P33" t="s">
        <v>13</v>
      </c>
      <c r="Q33" s="1" t="str">
        <v>Furniture/Equipment</v>
      </c>
      <c r="R33">
        <v>1</v>
      </c>
      <c r="S33" s="2" t="s">
        <v>34</v>
      </c>
    </row>
    <row r="34" spans="1:19" x14ac:dyDescent="0.35">
      <c r="A34">
        <v>30</v>
      </c>
      <c r="B34" s="2" t="s">
        <v>39</v>
      </c>
      <c r="C34" t="s">
        <v>19</v>
      </c>
      <c r="D34" s="1" t="str">
        <v>Male</v>
      </c>
      <c r="E34">
        <v>2</v>
      </c>
      <c r="F34" t="s">
        <v>21</v>
      </c>
      <c r="G34" t="s">
        <v>27</v>
      </c>
      <c r="H34" t="s">
        <v>27</v>
      </c>
      <c r="I34">
        <v>5866</v>
      </c>
      <c r="J34" s="2" t="s">
        <v>42</v>
      </c>
      <c r="K34" s="1" t="str">
        <f t="shared" si="0"/>
        <v>Clean</v>
      </c>
      <c r="L34" s="1" t="b">
        <v>1</v>
      </c>
      <c r="M34" s="1" t="str">
        <f t="shared" si="1"/>
        <v>Valid</v>
      </c>
      <c r="N34">
        <v>18</v>
      </c>
      <c r="O34" s="1" t="str">
        <f t="shared" si="2"/>
        <v>Valid</v>
      </c>
      <c r="P34" t="s">
        <v>14</v>
      </c>
      <c r="Q34" s="1" t="str">
        <v>Car</v>
      </c>
      <c r="R34">
        <v>1</v>
      </c>
      <c r="S34" s="2" t="s">
        <v>34</v>
      </c>
    </row>
    <row r="35" spans="1:19" x14ac:dyDescent="0.35">
      <c r="A35">
        <v>57</v>
      </c>
      <c r="B35" s="2" t="s">
        <v>37</v>
      </c>
      <c r="C35" t="s">
        <v>19</v>
      </c>
      <c r="D35" s="1" t="str">
        <v>Male</v>
      </c>
      <c r="E35">
        <v>1</v>
      </c>
      <c r="F35" t="s">
        <v>23</v>
      </c>
      <c r="G35" t="s">
        <v>10</v>
      </c>
      <c r="H35" t="s">
        <v>10</v>
      </c>
      <c r="I35">
        <v>1264</v>
      </c>
      <c r="J35" s="2" t="s">
        <v>41</v>
      </c>
      <c r="K35" s="1" t="str">
        <f t="shared" si="0"/>
        <v>Has Spaces</v>
      </c>
      <c r="L35" s="1" t="b">
        <v>1</v>
      </c>
      <c r="M35" s="1" t="str">
        <f t="shared" si="1"/>
        <v>Valid</v>
      </c>
      <c r="N35">
        <v>12</v>
      </c>
      <c r="O35" s="1" t="str">
        <f t="shared" si="2"/>
        <v>Valid</v>
      </c>
      <c r="P35" t="s">
        <v>15</v>
      </c>
      <c r="Q35" s="1" t="str">
        <v>Business</v>
      </c>
      <c r="R35">
        <v>1</v>
      </c>
      <c r="S35" s="2" t="s">
        <v>34</v>
      </c>
    </row>
    <row r="36" spans="1:19" x14ac:dyDescent="0.35">
      <c r="A36">
        <v>33</v>
      </c>
      <c r="B36" s="2" t="s">
        <v>39</v>
      </c>
      <c r="C36" t="s">
        <v>20</v>
      </c>
      <c r="D36" s="1" t="str">
        <v>Female</v>
      </c>
      <c r="E36">
        <v>3</v>
      </c>
      <c r="F36" t="s">
        <v>21</v>
      </c>
      <c r="G36" t="s">
        <v>24</v>
      </c>
      <c r="H36" t="s">
        <v>26</v>
      </c>
      <c r="I36">
        <v>1474</v>
      </c>
      <c r="J36" s="2" t="s">
        <v>41</v>
      </c>
      <c r="K36" s="1" t="str">
        <f t="shared" si="0"/>
        <v>Has Spaces</v>
      </c>
      <c r="L36" s="1" t="b">
        <v>1</v>
      </c>
      <c r="M36" s="1" t="str">
        <f t="shared" si="1"/>
        <v>Valid</v>
      </c>
      <c r="N36">
        <v>12</v>
      </c>
      <c r="O36" s="1" t="str">
        <f t="shared" si="2"/>
        <v>Valid</v>
      </c>
      <c r="P36" t="s">
        <v>13</v>
      </c>
      <c r="Q36" s="1" t="str">
        <v>Furniture/Equipment</v>
      </c>
      <c r="R36">
        <v>1</v>
      </c>
      <c r="S36" s="2" t="s">
        <v>34</v>
      </c>
    </row>
    <row r="37" spans="1:19" x14ac:dyDescent="0.35">
      <c r="A37">
        <v>25</v>
      </c>
      <c r="B37" s="2" t="s">
        <v>38</v>
      </c>
      <c r="C37" t="s">
        <v>19</v>
      </c>
      <c r="D37" s="1" t="str">
        <v>Male</v>
      </c>
      <c r="E37">
        <v>1</v>
      </c>
      <c r="F37" t="s">
        <v>21</v>
      </c>
      <c r="G37" t="s">
        <v>24</v>
      </c>
      <c r="H37" t="s">
        <v>27</v>
      </c>
      <c r="I37">
        <v>4746</v>
      </c>
      <c r="J37" s="2" t="s">
        <v>43</v>
      </c>
      <c r="K37" s="1" t="str">
        <f t="shared" si="0"/>
        <v>Clean</v>
      </c>
      <c r="L37" s="1" t="b">
        <v>1</v>
      </c>
      <c r="M37" s="1" t="str">
        <f t="shared" si="1"/>
        <v>Valid</v>
      </c>
      <c r="N37">
        <v>45</v>
      </c>
      <c r="O37" s="1" t="str">
        <f t="shared" si="2"/>
        <v>Valid</v>
      </c>
      <c r="P37" t="s">
        <v>11</v>
      </c>
      <c r="Q37" s="1" t="str">
        <v>Radio/Tv</v>
      </c>
      <c r="R37">
        <v>2</v>
      </c>
      <c r="S37" s="2" t="s">
        <v>35</v>
      </c>
    </row>
    <row r="38" spans="1:19" x14ac:dyDescent="0.35">
      <c r="A38">
        <v>31</v>
      </c>
      <c r="B38" s="2" t="s">
        <v>39</v>
      </c>
      <c r="C38" t="s">
        <v>19</v>
      </c>
      <c r="D38" s="1" t="str">
        <v>Male</v>
      </c>
      <c r="E38">
        <v>2</v>
      </c>
      <c r="F38" t="s">
        <v>22</v>
      </c>
      <c r="G38" t="s">
        <v>24</v>
      </c>
      <c r="H38" t="s">
        <v>10</v>
      </c>
      <c r="I38">
        <v>6110</v>
      </c>
      <c r="J38" s="2" t="s">
        <v>42</v>
      </c>
      <c r="K38" s="1" t="str">
        <f t="shared" si="0"/>
        <v>Clean</v>
      </c>
      <c r="L38" s="1" t="b">
        <v>1</v>
      </c>
      <c r="M38" s="1" t="str">
        <f t="shared" si="1"/>
        <v>Valid</v>
      </c>
      <c r="N38">
        <v>48</v>
      </c>
      <c r="O38" s="1" t="str">
        <f t="shared" si="2"/>
        <v>Valid</v>
      </c>
      <c r="P38" t="s">
        <v>12</v>
      </c>
      <c r="Q38" s="1" t="str">
        <v>Education</v>
      </c>
      <c r="R38">
        <v>1</v>
      </c>
      <c r="S38" s="2" t="s">
        <v>34</v>
      </c>
    </row>
    <row r="39" spans="1:19" x14ac:dyDescent="0.35">
      <c r="A39">
        <v>37</v>
      </c>
      <c r="B39" s="2" t="s">
        <v>39</v>
      </c>
      <c r="C39" t="s">
        <v>19</v>
      </c>
      <c r="D39" s="1" t="str">
        <v>Male</v>
      </c>
      <c r="E39">
        <v>2</v>
      </c>
      <c r="F39" t="s">
        <v>21</v>
      </c>
      <c r="G39" t="s">
        <v>24</v>
      </c>
      <c r="H39" t="s">
        <v>26</v>
      </c>
      <c r="I39">
        <v>2100</v>
      </c>
      <c r="J39" s="2" t="s">
        <v>43</v>
      </c>
      <c r="K39" s="1" t="str">
        <f t="shared" si="0"/>
        <v>Clean</v>
      </c>
      <c r="L39" s="1" t="b">
        <v>1</v>
      </c>
      <c r="M39" s="1" t="str">
        <f t="shared" si="1"/>
        <v>Valid</v>
      </c>
      <c r="N39">
        <v>18</v>
      </c>
      <c r="O39" s="1" t="str">
        <f t="shared" si="2"/>
        <v>Valid</v>
      </c>
      <c r="P39" t="s">
        <v>11</v>
      </c>
      <c r="Q39" s="1" t="str">
        <v>Radio/Tv</v>
      </c>
      <c r="R39">
        <v>2</v>
      </c>
      <c r="S39" s="2" t="s">
        <v>35</v>
      </c>
    </row>
    <row r="40" spans="1:19" x14ac:dyDescent="0.35">
      <c r="A40">
        <v>37</v>
      </c>
      <c r="B40" s="2" t="s">
        <v>39</v>
      </c>
      <c r="C40" t="s">
        <v>19</v>
      </c>
      <c r="D40" s="1" t="str">
        <v>Male</v>
      </c>
      <c r="E40">
        <v>2</v>
      </c>
      <c r="F40" t="s">
        <v>21</v>
      </c>
      <c r="G40" t="s">
        <v>24</v>
      </c>
      <c r="H40" t="s">
        <v>26</v>
      </c>
      <c r="I40">
        <v>1225</v>
      </c>
      <c r="J40" s="2" t="s">
        <v>41</v>
      </c>
      <c r="K40" s="1" t="str">
        <f t="shared" si="0"/>
        <v>Has Spaces</v>
      </c>
      <c r="L40" s="1" t="b">
        <v>1</v>
      </c>
      <c r="M40" s="1" t="str">
        <f t="shared" si="1"/>
        <v>Valid</v>
      </c>
      <c r="N40">
        <v>10</v>
      </c>
      <c r="O40" s="1" t="str">
        <f t="shared" si="2"/>
        <v>Valid</v>
      </c>
      <c r="P40" t="s">
        <v>16</v>
      </c>
      <c r="Q40" s="1" t="str">
        <v>Domestic Appliances</v>
      </c>
      <c r="R40">
        <v>1</v>
      </c>
      <c r="S40" s="2" t="s">
        <v>34</v>
      </c>
    </row>
    <row r="41" spans="1:19" x14ac:dyDescent="0.35">
      <c r="A41">
        <v>24</v>
      </c>
      <c r="B41" s="2" t="s">
        <v>38</v>
      </c>
      <c r="C41" t="s">
        <v>19</v>
      </c>
      <c r="D41" s="1" t="str">
        <v>Male</v>
      </c>
      <c r="E41">
        <v>2</v>
      </c>
      <c r="F41" t="s">
        <v>21</v>
      </c>
      <c r="G41" t="s">
        <v>24</v>
      </c>
      <c r="H41" t="s">
        <v>27</v>
      </c>
      <c r="I41">
        <v>458</v>
      </c>
      <c r="J41" s="2" t="s">
        <v>41</v>
      </c>
      <c r="K41" s="1" t="str">
        <f t="shared" si="0"/>
        <v>Has Spaces</v>
      </c>
      <c r="L41" s="1" t="b">
        <v>1</v>
      </c>
      <c r="M41" s="1" t="str">
        <f t="shared" si="1"/>
        <v>Valid</v>
      </c>
      <c r="N41">
        <v>9</v>
      </c>
      <c r="O41" s="1" t="str">
        <f t="shared" si="2"/>
        <v>Valid</v>
      </c>
      <c r="P41" t="s">
        <v>11</v>
      </c>
      <c r="Q41" s="1" t="str">
        <v>Radio/Tv</v>
      </c>
      <c r="R41">
        <v>1</v>
      </c>
      <c r="S41" s="2" t="s">
        <v>34</v>
      </c>
    </row>
    <row r="42" spans="1:19" x14ac:dyDescent="0.35">
      <c r="A42">
        <v>30</v>
      </c>
      <c r="B42" s="2" t="s">
        <v>39</v>
      </c>
      <c r="C42" t="s">
        <v>19</v>
      </c>
      <c r="D42" s="1" t="str">
        <v>Male</v>
      </c>
      <c r="E42">
        <v>3</v>
      </c>
      <c r="F42" t="s">
        <v>21</v>
      </c>
      <c r="G42" t="s">
        <v>25</v>
      </c>
      <c r="H42" t="s">
        <v>10</v>
      </c>
      <c r="I42">
        <v>2333</v>
      </c>
      <c r="J42" s="2" t="s">
        <v>43</v>
      </c>
      <c r="K42" s="1" t="str">
        <f t="shared" si="0"/>
        <v>Clean</v>
      </c>
      <c r="L42" s="1" t="b">
        <v>1</v>
      </c>
      <c r="M42" s="1" t="str">
        <f t="shared" si="1"/>
        <v>Valid</v>
      </c>
      <c r="N42">
        <v>30</v>
      </c>
      <c r="O42" s="1" t="str">
        <f t="shared" si="2"/>
        <v>Valid</v>
      </c>
      <c r="P42" t="s">
        <v>11</v>
      </c>
      <c r="Q42" s="1" t="str">
        <v>Radio/Tv</v>
      </c>
      <c r="R42">
        <v>1</v>
      </c>
      <c r="S42" s="2" t="s">
        <v>34</v>
      </c>
    </row>
    <row r="43" spans="1:19" x14ac:dyDescent="0.35">
      <c r="A43">
        <v>26</v>
      </c>
      <c r="B43" s="2" t="s">
        <v>38</v>
      </c>
      <c r="C43" t="s">
        <v>19</v>
      </c>
      <c r="D43" s="1" t="str">
        <v>Male</v>
      </c>
      <c r="E43">
        <v>2</v>
      </c>
      <c r="F43" t="s">
        <v>21</v>
      </c>
      <c r="G43" t="s">
        <v>25</v>
      </c>
      <c r="H43" t="s">
        <v>27</v>
      </c>
      <c r="I43">
        <v>1158</v>
      </c>
      <c r="J43" s="2" t="s">
        <v>41</v>
      </c>
      <c r="K43" s="1" t="str">
        <f t="shared" si="0"/>
        <v>Has Spaces</v>
      </c>
      <c r="L43" s="1" t="b">
        <v>1</v>
      </c>
      <c r="M43" s="1" t="str">
        <f t="shared" si="1"/>
        <v>Valid</v>
      </c>
      <c r="N43">
        <v>12</v>
      </c>
      <c r="O43" s="1" t="str">
        <f t="shared" si="2"/>
        <v>Valid</v>
      </c>
      <c r="P43" t="s">
        <v>11</v>
      </c>
      <c r="Q43" s="1" t="str">
        <v>Radio/Tv</v>
      </c>
      <c r="R43">
        <v>1</v>
      </c>
      <c r="S43" s="2" t="s">
        <v>34</v>
      </c>
    </row>
    <row r="44" spans="1:19" x14ac:dyDescent="0.35">
      <c r="A44">
        <v>44</v>
      </c>
      <c r="B44" s="2" t="s">
        <v>39</v>
      </c>
      <c r="C44" t="s">
        <v>19</v>
      </c>
      <c r="D44" s="1" t="str">
        <v>Male</v>
      </c>
      <c r="E44">
        <v>1</v>
      </c>
      <c r="F44" t="s">
        <v>21</v>
      </c>
      <c r="G44" t="s">
        <v>24</v>
      </c>
      <c r="H44" t="s">
        <v>27</v>
      </c>
      <c r="I44">
        <v>6204</v>
      </c>
      <c r="J44" s="2" t="s">
        <v>42</v>
      </c>
      <c r="K44" s="1" t="str">
        <f t="shared" si="0"/>
        <v>Clean</v>
      </c>
      <c r="L44" s="1" t="b">
        <v>1</v>
      </c>
      <c r="M44" s="1" t="str">
        <f t="shared" si="1"/>
        <v>Valid</v>
      </c>
      <c r="N44">
        <v>18</v>
      </c>
      <c r="O44" s="1" t="str">
        <f t="shared" si="2"/>
        <v>Valid</v>
      </c>
      <c r="P44" t="s">
        <v>17</v>
      </c>
      <c r="Q44" s="1" t="str">
        <v>Repairs</v>
      </c>
      <c r="R44">
        <v>1</v>
      </c>
      <c r="S44" s="2" t="s">
        <v>34</v>
      </c>
    </row>
    <row r="45" spans="1:19" x14ac:dyDescent="0.35">
      <c r="A45">
        <v>24</v>
      </c>
      <c r="B45" s="2" t="s">
        <v>38</v>
      </c>
      <c r="C45" t="s">
        <v>19</v>
      </c>
      <c r="D45" s="1" t="str">
        <v>Male</v>
      </c>
      <c r="E45">
        <v>2</v>
      </c>
      <c r="F45" t="s">
        <v>23</v>
      </c>
      <c r="G45" t="s">
        <v>27</v>
      </c>
      <c r="H45" t="s">
        <v>24</v>
      </c>
      <c r="I45">
        <v>6187</v>
      </c>
      <c r="J45" s="2" t="s">
        <v>42</v>
      </c>
      <c r="K45" s="1" t="str">
        <f t="shared" si="0"/>
        <v>Clean</v>
      </c>
      <c r="L45" s="1" t="b">
        <v>1</v>
      </c>
      <c r="M45" s="1" t="str">
        <f t="shared" si="1"/>
        <v>Valid</v>
      </c>
      <c r="N45">
        <v>30</v>
      </c>
      <c r="O45" s="1" t="str">
        <f t="shared" si="2"/>
        <v>Valid</v>
      </c>
      <c r="P45" t="s">
        <v>14</v>
      </c>
      <c r="Q45" s="1" t="str">
        <v>Car</v>
      </c>
      <c r="R45">
        <v>1</v>
      </c>
      <c r="S45" s="2" t="s">
        <v>34</v>
      </c>
    </row>
    <row r="46" spans="1:19" x14ac:dyDescent="0.35">
      <c r="A46">
        <v>58</v>
      </c>
      <c r="B46" s="2" t="s">
        <v>37</v>
      </c>
      <c r="C46" t="s">
        <v>20</v>
      </c>
      <c r="D46" s="1" t="str">
        <v>Female</v>
      </c>
      <c r="E46">
        <v>1</v>
      </c>
      <c r="F46" t="s">
        <v>22</v>
      </c>
      <c r="G46" t="s">
        <v>24</v>
      </c>
      <c r="H46" t="s">
        <v>24</v>
      </c>
      <c r="I46">
        <v>6143</v>
      </c>
      <c r="J46" s="2" t="s">
        <v>42</v>
      </c>
      <c r="K46" s="1" t="str">
        <f t="shared" si="0"/>
        <v>Clean</v>
      </c>
      <c r="L46" s="1" t="b">
        <v>1</v>
      </c>
      <c r="M46" s="1" t="str">
        <f t="shared" si="1"/>
        <v>Valid</v>
      </c>
      <c r="N46">
        <v>48</v>
      </c>
      <c r="O46" s="1" t="str">
        <f t="shared" si="2"/>
        <v>Valid</v>
      </c>
      <c r="P46" t="s">
        <v>14</v>
      </c>
      <c r="Q46" s="1" t="str">
        <v>Car</v>
      </c>
      <c r="R46">
        <v>2</v>
      </c>
      <c r="S46" s="2" t="s">
        <v>35</v>
      </c>
    </row>
    <row r="47" spans="1:19" x14ac:dyDescent="0.35">
      <c r="A47">
        <v>35</v>
      </c>
      <c r="B47" s="2" t="s">
        <v>39</v>
      </c>
      <c r="C47" t="s">
        <v>20</v>
      </c>
      <c r="D47" s="1" t="str">
        <v>Female</v>
      </c>
      <c r="E47">
        <v>3</v>
      </c>
      <c r="F47" t="s">
        <v>21</v>
      </c>
      <c r="G47" t="s">
        <v>24</v>
      </c>
      <c r="H47" t="s">
        <v>10</v>
      </c>
      <c r="I47">
        <v>1393</v>
      </c>
      <c r="J47" s="2" t="s">
        <v>41</v>
      </c>
      <c r="K47" s="1" t="str">
        <f t="shared" si="0"/>
        <v>Has Spaces</v>
      </c>
      <c r="L47" s="1" t="b">
        <v>1</v>
      </c>
      <c r="M47" s="1" t="str">
        <f t="shared" si="1"/>
        <v>Valid</v>
      </c>
      <c r="N47">
        <v>11</v>
      </c>
      <c r="O47" s="1" t="str">
        <f t="shared" si="2"/>
        <v>Valid</v>
      </c>
      <c r="P47" t="s">
        <v>14</v>
      </c>
      <c r="Q47" s="1" t="str">
        <v>Car</v>
      </c>
      <c r="R47">
        <v>1</v>
      </c>
      <c r="S47" s="2" t="s">
        <v>34</v>
      </c>
    </row>
    <row r="48" spans="1:19" x14ac:dyDescent="0.35">
      <c r="A48">
        <v>39</v>
      </c>
      <c r="B48" s="2" t="s">
        <v>39</v>
      </c>
      <c r="C48" t="s">
        <v>19</v>
      </c>
      <c r="D48" s="1" t="str">
        <v>Male</v>
      </c>
      <c r="E48">
        <v>2</v>
      </c>
      <c r="F48" t="s">
        <v>21</v>
      </c>
      <c r="G48" t="s">
        <v>25</v>
      </c>
      <c r="H48" t="s">
        <v>10</v>
      </c>
      <c r="I48">
        <v>2299</v>
      </c>
      <c r="J48" s="2" t="s">
        <v>43</v>
      </c>
      <c r="K48" s="1" t="str">
        <f t="shared" si="0"/>
        <v>Clean</v>
      </c>
      <c r="L48" s="1" t="b">
        <v>1</v>
      </c>
      <c r="M48" s="1" t="str">
        <f t="shared" si="1"/>
        <v>Valid</v>
      </c>
      <c r="N48">
        <v>36</v>
      </c>
      <c r="O48" s="1" t="str">
        <f t="shared" si="2"/>
        <v>Valid</v>
      </c>
      <c r="P48" t="s">
        <v>11</v>
      </c>
      <c r="Q48" s="1" t="str">
        <v>Radio/Tv</v>
      </c>
      <c r="R48">
        <v>1</v>
      </c>
      <c r="S48" s="2" t="s">
        <v>34</v>
      </c>
    </row>
    <row r="49" spans="1:19" x14ac:dyDescent="0.35">
      <c r="A49">
        <v>23</v>
      </c>
      <c r="B49" s="2" t="s">
        <v>38</v>
      </c>
      <c r="C49" t="s">
        <v>20</v>
      </c>
      <c r="D49" s="1" t="str">
        <v>Female</v>
      </c>
      <c r="E49">
        <v>0</v>
      </c>
      <c r="F49" t="s">
        <v>23</v>
      </c>
      <c r="G49" t="s">
        <v>25</v>
      </c>
      <c r="H49" t="s">
        <v>24</v>
      </c>
      <c r="I49">
        <v>1352</v>
      </c>
      <c r="J49" s="2" t="s">
        <v>41</v>
      </c>
      <c r="K49" s="1" t="str">
        <f t="shared" si="0"/>
        <v>Has Spaces</v>
      </c>
      <c r="L49" s="1" t="b">
        <v>1</v>
      </c>
      <c r="M49" s="1" t="str">
        <f t="shared" si="1"/>
        <v>Valid</v>
      </c>
      <c r="N49">
        <v>6</v>
      </c>
      <c r="O49" s="1" t="str">
        <f t="shared" si="2"/>
        <v>Valid</v>
      </c>
      <c r="P49" t="s">
        <v>14</v>
      </c>
      <c r="Q49" s="1" t="str">
        <v>Car</v>
      </c>
      <c r="R49">
        <v>1</v>
      </c>
      <c r="S49" s="2" t="s">
        <v>34</v>
      </c>
    </row>
    <row r="50" spans="1:19" x14ac:dyDescent="0.35">
      <c r="A50">
        <v>39</v>
      </c>
      <c r="B50" s="2" t="s">
        <v>39</v>
      </c>
      <c r="C50" t="s">
        <v>19</v>
      </c>
      <c r="D50" s="1" t="str">
        <v>Male</v>
      </c>
      <c r="E50">
        <v>1</v>
      </c>
      <c r="F50" t="s">
        <v>21</v>
      </c>
      <c r="G50" t="s">
        <v>24</v>
      </c>
      <c r="H50" t="s">
        <v>10</v>
      </c>
      <c r="I50">
        <v>7228</v>
      </c>
      <c r="J50" s="2" t="s">
        <v>42</v>
      </c>
      <c r="K50" s="1" t="str">
        <f t="shared" si="0"/>
        <v>Clean</v>
      </c>
      <c r="L50" s="1" t="b">
        <v>1</v>
      </c>
      <c r="M50" s="1" t="str">
        <f t="shared" si="1"/>
        <v>Valid</v>
      </c>
      <c r="N50">
        <v>11</v>
      </c>
      <c r="O50" s="1" t="str">
        <f t="shared" si="2"/>
        <v>Valid</v>
      </c>
      <c r="P50" t="s">
        <v>14</v>
      </c>
      <c r="Q50" s="1" t="str">
        <v>Car</v>
      </c>
      <c r="R50">
        <v>1</v>
      </c>
      <c r="S50" s="2" t="s">
        <v>34</v>
      </c>
    </row>
    <row r="51" spans="1:19" x14ac:dyDescent="0.35">
      <c r="A51">
        <v>28</v>
      </c>
      <c r="B51" s="2" t="s">
        <v>38</v>
      </c>
      <c r="C51" t="s">
        <v>20</v>
      </c>
      <c r="D51" s="1" t="str">
        <v>Female</v>
      </c>
      <c r="E51">
        <v>2</v>
      </c>
      <c r="F51" t="s">
        <v>21</v>
      </c>
      <c r="G51" t="s">
        <v>27</v>
      </c>
      <c r="H51" t="s">
        <v>10</v>
      </c>
      <c r="I51">
        <v>2073</v>
      </c>
      <c r="J51" s="2" t="s">
        <v>43</v>
      </c>
      <c r="K51" s="1" t="str">
        <f t="shared" si="0"/>
        <v>Clean</v>
      </c>
      <c r="L51" s="1" t="b">
        <v>1</v>
      </c>
      <c r="M51" s="1" t="str">
        <f t="shared" si="1"/>
        <v>Valid</v>
      </c>
      <c r="N51">
        <v>12</v>
      </c>
      <c r="O51" s="1" t="str">
        <f t="shared" si="2"/>
        <v>Valid</v>
      </c>
      <c r="P51" t="s">
        <v>11</v>
      </c>
      <c r="Q51" s="1" t="str">
        <v>Radio/Tv</v>
      </c>
      <c r="R51">
        <v>1</v>
      </c>
      <c r="S51" s="2" t="s">
        <v>34</v>
      </c>
    </row>
    <row r="52" spans="1:19" x14ac:dyDescent="0.35">
      <c r="A52">
        <v>29</v>
      </c>
      <c r="B52" s="2" t="s">
        <v>38</v>
      </c>
      <c r="C52" t="s">
        <v>19</v>
      </c>
      <c r="D52" s="1" t="str">
        <v>Male</v>
      </c>
      <c r="E52">
        <v>1</v>
      </c>
      <c r="F52" t="s">
        <v>21</v>
      </c>
      <c r="G52" t="s">
        <v>10</v>
      </c>
      <c r="H52" t="s">
        <v>27</v>
      </c>
      <c r="I52">
        <v>2333</v>
      </c>
      <c r="J52" s="2" t="s">
        <v>43</v>
      </c>
      <c r="K52" s="1" t="str">
        <f t="shared" si="0"/>
        <v>Clean</v>
      </c>
      <c r="L52" s="1" t="b">
        <v>1</v>
      </c>
      <c r="M52" s="1" t="str">
        <f t="shared" si="1"/>
        <v>Valid</v>
      </c>
      <c r="N52">
        <v>24</v>
      </c>
      <c r="O52" s="1" t="str">
        <f t="shared" si="2"/>
        <v>Valid</v>
      </c>
      <c r="P52" t="s">
        <v>13</v>
      </c>
      <c r="Q52" s="1" t="str">
        <v>Furniture/Equipment</v>
      </c>
      <c r="R52">
        <v>1</v>
      </c>
      <c r="S52" s="2" t="s">
        <v>34</v>
      </c>
    </row>
    <row r="53" spans="1:19" x14ac:dyDescent="0.35">
      <c r="A53">
        <v>30</v>
      </c>
      <c r="B53" s="2" t="s">
        <v>39</v>
      </c>
      <c r="C53" t="s">
        <v>19</v>
      </c>
      <c r="D53" s="1" t="str">
        <v>Male</v>
      </c>
      <c r="E53">
        <v>3</v>
      </c>
      <c r="F53" t="s">
        <v>21</v>
      </c>
      <c r="G53" t="s">
        <v>24</v>
      </c>
      <c r="H53" t="s">
        <v>27</v>
      </c>
      <c r="I53">
        <v>5965</v>
      </c>
      <c r="J53" s="2" t="s">
        <v>42</v>
      </c>
      <c r="K53" s="1" t="str">
        <f t="shared" si="0"/>
        <v>Clean</v>
      </c>
      <c r="L53" s="1" t="b">
        <v>1</v>
      </c>
      <c r="M53" s="1" t="str">
        <f t="shared" si="1"/>
        <v>Valid</v>
      </c>
      <c r="N53">
        <v>27</v>
      </c>
      <c r="O53" s="1" t="str">
        <f t="shared" si="2"/>
        <v>Valid</v>
      </c>
      <c r="P53" t="s">
        <v>14</v>
      </c>
      <c r="Q53" s="1" t="str">
        <v>Car</v>
      </c>
      <c r="R53">
        <v>1</v>
      </c>
      <c r="S53" s="2" t="s">
        <v>34</v>
      </c>
    </row>
    <row r="54" spans="1:19" x14ac:dyDescent="0.35">
      <c r="A54">
        <v>25</v>
      </c>
      <c r="B54" s="2" t="s">
        <v>38</v>
      </c>
      <c r="C54" t="s">
        <v>19</v>
      </c>
      <c r="D54" s="1" t="str">
        <v>Male</v>
      </c>
      <c r="E54">
        <v>2</v>
      </c>
      <c r="F54" t="s">
        <v>21</v>
      </c>
      <c r="G54" t="s">
        <v>24</v>
      </c>
      <c r="H54" t="s">
        <v>10</v>
      </c>
      <c r="I54">
        <v>1262</v>
      </c>
      <c r="J54" s="2" t="s">
        <v>41</v>
      </c>
      <c r="K54" s="1" t="str">
        <f t="shared" si="0"/>
        <v>Has Spaces</v>
      </c>
      <c r="L54" s="1" t="b">
        <v>1</v>
      </c>
      <c r="M54" s="1" t="str">
        <f t="shared" si="1"/>
        <v>Valid</v>
      </c>
      <c r="N54">
        <v>12</v>
      </c>
      <c r="O54" s="1" t="str">
        <f t="shared" si="2"/>
        <v>Valid</v>
      </c>
      <c r="P54" t="s">
        <v>11</v>
      </c>
      <c r="Q54" s="1" t="str">
        <v>Radio/Tv</v>
      </c>
      <c r="R54">
        <v>1</v>
      </c>
      <c r="S54" s="2" t="s">
        <v>34</v>
      </c>
    </row>
    <row r="55" spans="1:19" x14ac:dyDescent="0.35">
      <c r="A55">
        <v>31</v>
      </c>
      <c r="B55" s="2" t="s">
        <v>39</v>
      </c>
      <c r="C55" t="s">
        <v>19</v>
      </c>
      <c r="D55" s="1" t="str">
        <v>Male</v>
      </c>
      <c r="E55">
        <v>2</v>
      </c>
      <c r="F55" t="s">
        <v>21</v>
      </c>
      <c r="G55" t="s">
        <v>10</v>
      </c>
      <c r="H55" t="s">
        <v>10</v>
      </c>
      <c r="I55">
        <v>3378</v>
      </c>
      <c r="J55" s="2" t="s">
        <v>43</v>
      </c>
      <c r="K55" s="1" t="str">
        <f t="shared" si="0"/>
        <v>Clean</v>
      </c>
      <c r="L55" s="1" t="b">
        <v>1</v>
      </c>
      <c r="M55" s="1" t="str">
        <f t="shared" si="1"/>
        <v>Valid</v>
      </c>
      <c r="N55">
        <v>18</v>
      </c>
      <c r="O55" s="1" t="str">
        <f t="shared" si="2"/>
        <v>Valid</v>
      </c>
      <c r="P55" t="s">
        <v>14</v>
      </c>
      <c r="Q55" s="1" t="str">
        <v>Car</v>
      </c>
      <c r="R55">
        <v>1</v>
      </c>
      <c r="S55" s="2" t="s">
        <v>34</v>
      </c>
    </row>
    <row r="56" spans="1:19" x14ac:dyDescent="0.35">
      <c r="A56">
        <v>57</v>
      </c>
      <c r="B56" s="2" t="s">
        <v>37</v>
      </c>
      <c r="C56" t="s">
        <v>19</v>
      </c>
      <c r="D56" s="1" t="str">
        <v>Male</v>
      </c>
      <c r="E56">
        <v>2</v>
      </c>
      <c r="F56" t="s">
        <v>22</v>
      </c>
      <c r="G56" t="s">
        <v>24</v>
      </c>
      <c r="H56" t="s">
        <v>27</v>
      </c>
      <c r="I56">
        <v>2225</v>
      </c>
      <c r="J56" s="2" t="s">
        <v>43</v>
      </c>
      <c r="K56" s="1" t="str">
        <f t="shared" si="0"/>
        <v>Clean</v>
      </c>
      <c r="L56" s="1" t="b">
        <v>1</v>
      </c>
      <c r="M56" s="1" t="str">
        <f t="shared" si="1"/>
        <v>Valid</v>
      </c>
      <c r="N56">
        <v>36</v>
      </c>
      <c r="O56" s="1" t="str">
        <f t="shared" si="2"/>
        <v>Valid</v>
      </c>
      <c r="P56" t="s">
        <v>14</v>
      </c>
      <c r="Q56" s="1" t="str">
        <v>Car</v>
      </c>
      <c r="R56">
        <v>2</v>
      </c>
      <c r="S56" s="2" t="s">
        <v>35</v>
      </c>
    </row>
    <row r="57" spans="1:19" x14ac:dyDescent="0.35">
      <c r="A57">
        <v>26</v>
      </c>
      <c r="B57" s="2" t="s">
        <v>38</v>
      </c>
      <c r="C57" t="s">
        <v>19</v>
      </c>
      <c r="D57" s="1" t="str">
        <v>Male</v>
      </c>
      <c r="E57">
        <v>1</v>
      </c>
      <c r="F57" t="s">
        <v>21</v>
      </c>
      <c r="G57" t="s">
        <v>10</v>
      </c>
      <c r="H57" t="s">
        <v>10</v>
      </c>
      <c r="I57">
        <v>783</v>
      </c>
      <c r="J57" s="2" t="s">
        <v>41</v>
      </c>
      <c r="K57" s="1" t="str">
        <f t="shared" si="0"/>
        <v>Has Spaces</v>
      </c>
      <c r="L57" s="1" t="b">
        <v>1</v>
      </c>
      <c r="M57" s="1" t="str">
        <f t="shared" si="1"/>
        <v>Valid</v>
      </c>
      <c r="N57">
        <v>6</v>
      </c>
      <c r="O57" s="1" t="str">
        <f t="shared" si="2"/>
        <v>Valid</v>
      </c>
      <c r="P57" t="s">
        <v>14</v>
      </c>
      <c r="Q57" s="1" t="str">
        <v>Car</v>
      </c>
      <c r="R57">
        <v>1</v>
      </c>
      <c r="S57" s="2" t="s">
        <v>34</v>
      </c>
    </row>
    <row r="58" spans="1:19" x14ac:dyDescent="0.35">
      <c r="A58">
        <v>52</v>
      </c>
      <c r="B58" s="2" t="s">
        <v>37</v>
      </c>
      <c r="C58" t="s">
        <v>19</v>
      </c>
      <c r="D58" s="1" t="str">
        <v>Male</v>
      </c>
      <c r="E58">
        <v>3</v>
      </c>
      <c r="F58" t="s">
        <v>21</v>
      </c>
      <c r="G58" t="s">
        <v>10</v>
      </c>
      <c r="H58" t="s">
        <v>27</v>
      </c>
      <c r="I58">
        <v>6468</v>
      </c>
      <c r="J58" s="2" t="s">
        <v>42</v>
      </c>
      <c r="K58" s="1" t="str">
        <f t="shared" si="0"/>
        <v>Clean</v>
      </c>
      <c r="L58" s="1" t="b">
        <v>1</v>
      </c>
      <c r="M58" s="1" t="str">
        <f t="shared" si="1"/>
        <v>Valid</v>
      </c>
      <c r="N58">
        <v>12</v>
      </c>
      <c r="O58" s="1" t="str">
        <f t="shared" si="2"/>
        <v>Valid</v>
      </c>
      <c r="P58" t="s">
        <v>11</v>
      </c>
      <c r="Q58" s="1" t="str">
        <v>Radio/Tv</v>
      </c>
      <c r="R58">
        <v>2</v>
      </c>
      <c r="S58" s="2" t="s">
        <v>35</v>
      </c>
    </row>
    <row r="59" spans="1:19" x14ac:dyDescent="0.35">
      <c r="A59">
        <v>31</v>
      </c>
      <c r="B59" s="2" t="s">
        <v>39</v>
      </c>
      <c r="C59" t="s">
        <v>20</v>
      </c>
      <c r="D59" s="1" t="str">
        <v>Female</v>
      </c>
      <c r="E59">
        <v>2</v>
      </c>
      <c r="F59" t="s">
        <v>21</v>
      </c>
      <c r="G59" t="s">
        <v>24</v>
      </c>
      <c r="H59" t="s">
        <v>10</v>
      </c>
      <c r="I59">
        <v>9566</v>
      </c>
      <c r="J59" s="2" t="s">
        <v>42</v>
      </c>
      <c r="K59" s="1" t="str">
        <f t="shared" si="0"/>
        <v>Clean</v>
      </c>
      <c r="L59" s="1" t="b">
        <v>1</v>
      </c>
      <c r="M59" s="1" t="str">
        <f t="shared" si="1"/>
        <v>Valid</v>
      </c>
      <c r="N59">
        <v>36</v>
      </c>
      <c r="O59" s="1" t="str">
        <f t="shared" si="2"/>
        <v>Valid</v>
      </c>
      <c r="P59" t="s">
        <v>11</v>
      </c>
      <c r="Q59" s="1" t="str">
        <v>Radio/Tv</v>
      </c>
      <c r="R59">
        <v>1</v>
      </c>
      <c r="S59" s="2" t="s">
        <v>34</v>
      </c>
    </row>
    <row r="60" spans="1:19" x14ac:dyDescent="0.35">
      <c r="A60">
        <v>23</v>
      </c>
      <c r="B60" s="2" t="s">
        <v>38</v>
      </c>
      <c r="C60" t="s">
        <v>20</v>
      </c>
      <c r="D60" s="1" t="str">
        <v>Female</v>
      </c>
      <c r="E60">
        <v>3</v>
      </c>
      <c r="F60" t="s">
        <v>21</v>
      </c>
      <c r="G60" t="s">
        <v>24</v>
      </c>
      <c r="H60" t="s">
        <v>26</v>
      </c>
      <c r="I60">
        <v>1961</v>
      </c>
      <c r="J60" s="2" t="s">
        <v>41</v>
      </c>
      <c r="K60" s="1" t="str">
        <f t="shared" si="0"/>
        <v>Has Spaces</v>
      </c>
      <c r="L60" s="1" t="b">
        <v>1</v>
      </c>
      <c r="M60" s="1" t="str">
        <f t="shared" si="1"/>
        <v>Valid</v>
      </c>
      <c r="N60">
        <v>18</v>
      </c>
      <c r="O60" s="1" t="str">
        <f t="shared" si="2"/>
        <v>Valid</v>
      </c>
      <c r="P60" t="s">
        <v>14</v>
      </c>
      <c r="Q60" s="1" t="str">
        <v>Car</v>
      </c>
      <c r="R60">
        <v>1</v>
      </c>
      <c r="S60" s="2" t="s">
        <v>34</v>
      </c>
    </row>
    <row r="61" spans="1:19" x14ac:dyDescent="0.35">
      <c r="A61">
        <v>23</v>
      </c>
      <c r="B61" s="2" t="s">
        <v>38</v>
      </c>
      <c r="C61" t="s">
        <v>20</v>
      </c>
      <c r="D61" s="1" t="str">
        <v>Female</v>
      </c>
      <c r="E61">
        <v>1</v>
      </c>
      <c r="F61" t="s">
        <v>23</v>
      </c>
      <c r="G61" t="s">
        <v>24</v>
      </c>
      <c r="H61" t="s">
        <v>24</v>
      </c>
      <c r="I61">
        <v>6229</v>
      </c>
      <c r="J61" s="2" t="s">
        <v>42</v>
      </c>
      <c r="K61" s="1" t="str">
        <f t="shared" si="0"/>
        <v>Clean</v>
      </c>
      <c r="L61" s="1" t="b">
        <v>1</v>
      </c>
      <c r="M61" s="1" t="str">
        <f t="shared" si="1"/>
        <v>Valid</v>
      </c>
      <c r="N61">
        <v>36</v>
      </c>
      <c r="O61" s="1" t="str">
        <f t="shared" si="2"/>
        <v>Valid</v>
      </c>
      <c r="P61" t="s">
        <v>13</v>
      </c>
      <c r="Q61" s="1" t="str">
        <v>Furniture/Equipment</v>
      </c>
      <c r="R61">
        <v>2</v>
      </c>
      <c r="S61" s="2" t="s">
        <v>35</v>
      </c>
    </row>
    <row r="62" spans="1:19" x14ac:dyDescent="0.35">
      <c r="A62">
        <v>27</v>
      </c>
      <c r="B62" s="2" t="s">
        <v>38</v>
      </c>
      <c r="C62" t="s">
        <v>19</v>
      </c>
      <c r="D62" s="1" t="str">
        <v>Male</v>
      </c>
      <c r="E62">
        <v>2</v>
      </c>
      <c r="F62" t="s">
        <v>21</v>
      </c>
      <c r="G62" t="s">
        <v>24</v>
      </c>
      <c r="H62" t="s">
        <v>27</v>
      </c>
      <c r="I62">
        <v>1391</v>
      </c>
      <c r="J62" s="2" t="s">
        <v>41</v>
      </c>
      <c r="K62" s="1" t="str">
        <f t="shared" si="0"/>
        <v>Has Spaces</v>
      </c>
      <c r="L62" s="1" t="b">
        <v>1</v>
      </c>
      <c r="M62" s="1" t="str">
        <f t="shared" si="1"/>
        <v>Valid</v>
      </c>
      <c r="N62">
        <v>9</v>
      </c>
      <c r="O62" s="1" t="str">
        <f t="shared" si="2"/>
        <v>Valid</v>
      </c>
      <c r="P62" t="s">
        <v>15</v>
      </c>
      <c r="Q62" s="1" t="str">
        <v>Business</v>
      </c>
      <c r="R62">
        <v>1</v>
      </c>
      <c r="S62" s="2" t="s">
        <v>34</v>
      </c>
    </row>
    <row r="63" spans="1:19" x14ac:dyDescent="0.35">
      <c r="A63">
        <v>50</v>
      </c>
      <c r="B63" s="2" t="s">
        <v>37</v>
      </c>
      <c r="C63" t="s">
        <v>19</v>
      </c>
      <c r="D63" s="1" t="str">
        <v>Male</v>
      </c>
      <c r="E63">
        <v>2</v>
      </c>
      <c r="F63" t="s">
        <v>21</v>
      </c>
      <c r="G63" t="s">
        <v>10</v>
      </c>
      <c r="H63" t="s">
        <v>27</v>
      </c>
      <c r="I63">
        <v>1537</v>
      </c>
      <c r="J63" s="2" t="s">
        <v>41</v>
      </c>
      <c r="K63" s="1" t="str">
        <f t="shared" si="0"/>
        <v>Has Spaces</v>
      </c>
      <c r="L63" s="1" t="b">
        <v>1</v>
      </c>
      <c r="M63" s="1" t="str">
        <f t="shared" si="1"/>
        <v>Valid</v>
      </c>
      <c r="N63">
        <v>15</v>
      </c>
      <c r="O63" s="1" t="str">
        <f t="shared" si="2"/>
        <v>Valid</v>
      </c>
      <c r="P63" t="s">
        <v>11</v>
      </c>
      <c r="Q63" s="1" t="str">
        <v>Radio/Tv</v>
      </c>
      <c r="R63">
        <v>1</v>
      </c>
      <c r="S63" s="2" t="s">
        <v>34</v>
      </c>
    </row>
    <row r="64" spans="1:19" x14ac:dyDescent="0.35">
      <c r="A64">
        <v>61</v>
      </c>
      <c r="B64" s="2" t="s">
        <v>37</v>
      </c>
      <c r="C64" t="s">
        <v>19</v>
      </c>
      <c r="D64" s="1" t="str">
        <v>Male</v>
      </c>
      <c r="E64">
        <v>3</v>
      </c>
      <c r="F64" t="s">
        <v>22</v>
      </c>
      <c r="G64" t="s">
        <v>24</v>
      </c>
      <c r="H64" t="s">
        <v>27</v>
      </c>
      <c r="I64">
        <v>1953</v>
      </c>
      <c r="J64" s="2" t="s">
        <v>41</v>
      </c>
      <c r="K64" s="1" t="str">
        <f t="shared" si="0"/>
        <v>Has Spaces</v>
      </c>
      <c r="L64" s="1" t="b">
        <v>1</v>
      </c>
      <c r="M64" s="1" t="str">
        <f t="shared" si="1"/>
        <v>Valid</v>
      </c>
      <c r="N64">
        <v>36</v>
      </c>
      <c r="O64" s="1" t="str">
        <f t="shared" si="2"/>
        <v>Valid</v>
      </c>
      <c r="P64" t="s">
        <v>15</v>
      </c>
      <c r="Q64" s="1" t="str">
        <v>Business</v>
      </c>
      <c r="R64">
        <v>2</v>
      </c>
      <c r="S64" s="2" t="s">
        <v>35</v>
      </c>
    </row>
    <row r="65" spans="1:19" x14ac:dyDescent="0.35">
      <c r="A65">
        <v>25</v>
      </c>
      <c r="B65" s="2" t="s">
        <v>38</v>
      </c>
      <c r="C65" t="s">
        <v>19</v>
      </c>
      <c r="D65" s="1" t="str">
        <v>Male</v>
      </c>
      <c r="E65">
        <v>2</v>
      </c>
      <c r="F65" t="s">
        <v>21</v>
      </c>
      <c r="G65" t="s">
        <v>24</v>
      </c>
      <c r="H65" t="s">
        <v>27</v>
      </c>
      <c r="I65">
        <v>14421</v>
      </c>
      <c r="J65" s="2" t="s">
        <v>42</v>
      </c>
      <c r="K65" s="1" t="str">
        <f t="shared" si="0"/>
        <v>Clean</v>
      </c>
      <c r="L65" s="1" t="b">
        <v>1</v>
      </c>
      <c r="M65" s="1" t="str">
        <f t="shared" si="1"/>
        <v>Valid</v>
      </c>
      <c r="N65">
        <v>48</v>
      </c>
      <c r="O65" s="1" t="str">
        <f t="shared" si="2"/>
        <v>Valid</v>
      </c>
      <c r="P65" t="s">
        <v>15</v>
      </c>
      <c r="Q65" s="1" t="str">
        <v>Business</v>
      </c>
      <c r="R65">
        <v>2</v>
      </c>
      <c r="S65" s="2" t="s">
        <v>35</v>
      </c>
    </row>
    <row r="66" spans="1:19" x14ac:dyDescent="0.35">
      <c r="A66">
        <v>26</v>
      </c>
      <c r="B66" s="2" t="s">
        <v>38</v>
      </c>
      <c r="C66" t="s">
        <v>20</v>
      </c>
      <c r="D66" s="1" t="str">
        <v>Female</v>
      </c>
      <c r="E66">
        <v>2</v>
      </c>
      <c r="F66" t="s">
        <v>21</v>
      </c>
      <c r="G66" t="s">
        <v>24</v>
      </c>
      <c r="H66" t="s">
        <v>10</v>
      </c>
      <c r="I66">
        <v>3181</v>
      </c>
      <c r="J66" s="2" t="s">
        <v>43</v>
      </c>
      <c r="K66" s="1" t="str">
        <f t="shared" si="0"/>
        <v>Clean</v>
      </c>
      <c r="L66" s="1" t="b">
        <v>1</v>
      </c>
      <c r="M66" s="1" t="str">
        <f t="shared" si="1"/>
        <v>Valid</v>
      </c>
      <c r="N66">
        <v>24</v>
      </c>
      <c r="O66" s="1" t="str">
        <f t="shared" si="2"/>
        <v>Valid</v>
      </c>
      <c r="P66" t="s">
        <v>11</v>
      </c>
      <c r="Q66" s="1" t="str">
        <v>Radio/Tv</v>
      </c>
      <c r="R66">
        <v>1</v>
      </c>
      <c r="S66" s="2" t="s">
        <v>34</v>
      </c>
    </row>
    <row r="67" spans="1:19" x14ac:dyDescent="0.35">
      <c r="A67">
        <v>48</v>
      </c>
      <c r="B67" s="2" t="s">
        <v>39</v>
      </c>
      <c r="C67" t="s">
        <v>19</v>
      </c>
      <c r="D67" s="1" t="str">
        <v>Male</v>
      </c>
      <c r="E67">
        <v>2</v>
      </c>
      <c r="F67" t="s">
        <v>21</v>
      </c>
      <c r="G67" t="s">
        <v>10</v>
      </c>
      <c r="H67" t="s">
        <v>10</v>
      </c>
      <c r="I67">
        <v>5190</v>
      </c>
      <c r="J67" s="2" t="s">
        <v>42</v>
      </c>
      <c r="K67" s="1" t="str">
        <f t="shared" ref="K67:K130" si="3">IF(J67=TRIM(J67),"Clean","Has Spaces")</f>
        <v>Clean</v>
      </c>
      <c r="L67" s="1" t="b">
        <v>1</v>
      </c>
      <c r="M67" s="1" t="str">
        <f t="shared" ref="M67:M130" si="4">IF(I67&gt;0,"Valid", "Invalid")</f>
        <v>Valid</v>
      </c>
      <c r="N67">
        <v>27</v>
      </c>
      <c r="O67" s="1" t="str">
        <f t="shared" ref="O67:O130" si="5">IF(N67&lt;=0,"invalid", "Valid")</f>
        <v>Valid</v>
      </c>
      <c r="P67" t="s">
        <v>17</v>
      </c>
      <c r="Q67" s="1" t="str">
        <v>Repairs</v>
      </c>
      <c r="R67">
        <v>1</v>
      </c>
      <c r="S67" s="2" t="s">
        <v>34</v>
      </c>
    </row>
    <row r="68" spans="1:19" x14ac:dyDescent="0.35">
      <c r="A68">
        <v>29</v>
      </c>
      <c r="B68" s="2" t="s">
        <v>38</v>
      </c>
      <c r="C68" t="s">
        <v>20</v>
      </c>
      <c r="D68" s="1" t="str">
        <v>Female</v>
      </c>
      <c r="E68">
        <v>2</v>
      </c>
      <c r="F68" t="s">
        <v>21</v>
      </c>
      <c r="G68" t="s">
        <v>24</v>
      </c>
      <c r="H68" t="s">
        <v>10</v>
      </c>
      <c r="I68">
        <v>2171</v>
      </c>
      <c r="J68" s="2" t="s">
        <v>43</v>
      </c>
      <c r="K68" s="1" t="str">
        <f t="shared" si="3"/>
        <v>Clean</v>
      </c>
      <c r="L68" s="1" t="b">
        <v>1</v>
      </c>
      <c r="M68" s="1" t="str">
        <f t="shared" si="4"/>
        <v>Valid</v>
      </c>
      <c r="N68">
        <v>12</v>
      </c>
      <c r="O68" s="1" t="str">
        <f t="shared" si="5"/>
        <v>Valid</v>
      </c>
      <c r="P68" t="s">
        <v>11</v>
      </c>
      <c r="Q68" s="1" t="str">
        <v>Radio/Tv</v>
      </c>
      <c r="R68">
        <v>1</v>
      </c>
      <c r="S68" s="2" t="s">
        <v>34</v>
      </c>
    </row>
    <row r="69" spans="1:19" x14ac:dyDescent="0.35">
      <c r="A69">
        <v>22</v>
      </c>
      <c r="B69" s="2" t="s">
        <v>38</v>
      </c>
      <c r="C69" t="s">
        <v>19</v>
      </c>
      <c r="D69" s="1" t="str">
        <v>Male</v>
      </c>
      <c r="E69">
        <v>2</v>
      </c>
      <c r="F69" t="s">
        <v>21</v>
      </c>
      <c r="G69" t="s">
        <v>26</v>
      </c>
      <c r="H69" t="s">
        <v>27</v>
      </c>
      <c r="I69">
        <v>1007</v>
      </c>
      <c r="J69" s="2" t="s">
        <v>41</v>
      </c>
      <c r="K69" s="1" t="str">
        <f t="shared" si="3"/>
        <v>Has Spaces</v>
      </c>
      <c r="L69" s="1" t="b">
        <v>1</v>
      </c>
      <c r="M69" s="1" t="str">
        <f t="shared" si="4"/>
        <v>Valid</v>
      </c>
      <c r="N69">
        <v>12</v>
      </c>
      <c r="O69" s="1" t="str">
        <f t="shared" si="5"/>
        <v>Valid</v>
      </c>
      <c r="P69" t="s">
        <v>14</v>
      </c>
      <c r="Q69" s="1" t="str">
        <v>Car</v>
      </c>
      <c r="R69">
        <v>1</v>
      </c>
      <c r="S69" s="2" t="s">
        <v>34</v>
      </c>
    </row>
    <row r="70" spans="1:19" x14ac:dyDescent="0.35">
      <c r="A70">
        <v>37</v>
      </c>
      <c r="B70" s="2" t="s">
        <v>39</v>
      </c>
      <c r="C70" t="s">
        <v>19</v>
      </c>
      <c r="D70" s="1" t="str">
        <v>Male</v>
      </c>
      <c r="E70">
        <v>2</v>
      </c>
      <c r="F70" t="s">
        <v>22</v>
      </c>
      <c r="G70" t="s">
        <v>24</v>
      </c>
      <c r="H70" t="s">
        <v>10</v>
      </c>
      <c r="I70">
        <v>1819</v>
      </c>
      <c r="J70" s="2" t="s">
        <v>41</v>
      </c>
      <c r="K70" s="1" t="str">
        <f t="shared" si="3"/>
        <v>Has Spaces</v>
      </c>
      <c r="L70" s="1" t="b">
        <v>1</v>
      </c>
      <c r="M70" s="1" t="str">
        <f t="shared" si="4"/>
        <v>Valid</v>
      </c>
      <c r="N70">
        <v>36</v>
      </c>
      <c r="O70" s="1" t="str">
        <f t="shared" si="5"/>
        <v>Valid</v>
      </c>
      <c r="P70" t="s">
        <v>12</v>
      </c>
      <c r="Q70" s="1" t="str">
        <v>Education</v>
      </c>
      <c r="R70">
        <v>2</v>
      </c>
      <c r="S70" s="2" t="s">
        <v>35</v>
      </c>
    </row>
    <row r="71" spans="1:19" x14ac:dyDescent="0.35">
      <c r="A71">
        <v>25</v>
      </c>
      <c r="B71" s="2" t="s">
        <v>38</v>
      </c>
      <c r="C71" t="s">
        <v>20</v>
      </c>
      <c r="D71" s="1" t="str">
        <v>Female</v>
      </c>
      <c r="E71">
        <v>2</v>
      </c>
      <c r="F71" t="s">
        <v>21</v>
      </c>
      <c r="G71" t="s">
        <v>10</v>
      </c>
      <c r="H71" t="s">
        <v>10</v>
      </c>
      <c r="I71">
        <v>2394</v>
      </c>
      <c r="J71" s="2" t="s">
        <v>43</v>
      </c>
      <c r="K71" s="1" t="str">
        <f t="shared" si="3"/>
        <v>Clean</v>
      </c>
      <c r="L71" s="1" t="b">
        <v>1</v>
      </c>
      <c r="M71" s="1" t="str">
        <f t="shared" si="4"/>
        <v>Valid</v>
      </c>
      <c r="N71">
        <v>36</v>
      </c>
      <c r="O71" s="1" t="str">
        <f t="shared" si="5"/>
        <v>Valid</v>
      </c>
      <c r="P71" t="s">
        <v>11</v>
      </c>
      <c r="Q71" s="1" t="str">
        <v>Radio/Tv</v>
      </c>
      <c r="R71">
        <v>1</v>
      </c>
      <c r="S71" s="2" t="s">
        <v>34</v>
      </c>
    </row>
    <row r="72" spans="1:19" x14ac:dyDescent="0.35">
      <c r="A72">
        <v>30</v>
      </c>
      <c r="B72" s="2" t="s">
        <v>39</v>
      </c>
      <c r="C72" t="s">
        <v>20</v>
      </c>
      <c r="D72" s="1" t="str">
        <v>Female</v>
      </c>
      <c r="E72">
        <v>2</v>
      </c>
      <c r="F72" t="s">
        <v>21</v>
      </c>
      <c r="G72" t="s">
        <v>24</v>
      </c>
      <c r="H72" t="s">
        <v>10</v>
      </c>
      <c r="I72">
        <v>8133</v>
      </c>
      <c r="J72" s="2" t="s">
        <v>42</v>
      </c>
      <c r="K72" s="1" t="str">
        <f t="shared" si="3"/>
        <v>Clean</v>
      </c>
      <c r="L72" s="1" t="b">
        <v>1</v>
      </c>
      <c r="M72" s="1" t="str">
        <f t="shared" si="4"/>
        <v>Valid</v>
      </c>
      <c r="N72">
        <v>36</v>
      </c>
      <c r="O72" s="1" t="str">
        <f t="shared" si="5"/>
        <v>Valid</v>
      </c>
      <c r="P72" t="s">
        <v>14</v>
      </c>
      <c r="Q72" s="1" t="str">
        <v>Car</v>
      </c>
      <c r="R72">
        <v>1</v>
      </c>
      <c r="S72" s="2" t="s">
        <v>34</v>
      </c>
    </row>
    <row r="73" spans="1:19" x14ac:dyDescent="0.35">
      <c r="A73">
        <v>46</v>
      </c>
      <c r="B73" s="2" t="s">
        <v>39</v>
      </c>
      <c r="C73" t="s">
        <v>19</v>
      </c>
      <c r="D73" s="1" t="str">
        <v>Male</v>
      </c>
      <c r="E73">
        <v>1</v>
      </c>
      <c r="F73" t="s">
        <v>23</v>
      </c>
      <c r="G73" t="s">
        <v>10</v>
      </c>
      <c r="H73" t="s">
        <v>10</v>
      </c>
      <c r="I73">
        <v>730</v>
      </c>
      <c r="J73" s="2" t="s">
        <v>41</v>
      </c>
      <c r="K73" s="1" t="str">
        <f t="shared" si="3"/>
        <v>Has Spaces</v>
      </c>
      <c r="L73" s="1" t="b">
        <v>1</v>
      </c>
      <c r="M73" s="1" t="str">
        <f t="shared" si="4"/>
        <v>Valid</v>
      </c>
      <c r="N73">
        <v>7</v>
      </c>
      <c r="O73" s="1" t="str">
        <f t="shared" si="5"/>
        <v>Valid</v>
      </c>
      <c r="P73" t="s">
        <v>11</v>
      </c>
      <c r="Q73" s="1" t="str">
        <v>Radio/Tv</v>
      </c>
      <c r="R73">
        <v>1</v>
      </c>
      <c r="S73" s="2" t="s">
        <v>34</v>
      </c>
    </row>
    <row r="74" spans="1:19" x14ac:dyDescent="0.35">
      <c r="A74">
        <v>51</v>
      </c>
      <c r="B74" s="2" t="s">
        <v>37</v>
      </c>
      <c r="C74" t="s">
        <v>19</v>
      </c>
      <c r="D74" s="1" t="str">
        <v>Male</v>
      </c>
      <c r="E74">
        <v>3</v>
      </c>
      <c r="F74" t="s">
        <v>22</v>
      </c>
      <c r="G74" t="s">
        <v>24</v>
      </c>
      <c r="H74" t="s">
        <v>24</v>
      </c>
      <c r="I74">
        <v>1164</v>
      </c>
      <c r="J74" s="2" t="s">
        <v>41</v>
      </c>
      <c r="K74" s="1" t="str">
        <f t="shared" si="3"/>
        <v>Has Spaces</v>
      </c>
      <c r="L74" s="1" t="b">
        <v>1</v>
      </c>
      <c r="M74" s="1" t="str">
        <f t="shared" si="4"/>
        <v>Valid</v>
      </c>
      <c r="N74">
        <v>8</v>
      </c>
      <c r="O74" s="1" t="str">
        <f t="shared" si="5"/>
        <v>Valid</v>
      </c>
      <c r="P74" t="s">
        <v>18</v>
      </c>
      <c r="Q74" s="1" t="str">
        <v>Vacation/Others</v>
      </c>
      <c r="R74">
        <v>1</v>
      </c>
      <c r="S74" s="2" t="s">
        <v>34</v>
      </c>
    </row>
    <row r="75" spans="1:19" x14ac:dyDescent="0.35">
      <c r="A75">
        <v>41</v>
      </c>
      <c r="B75" s="2" t="s">
        <v>39</v>
      </c>
      <c r="C75" t="s">
        <v>20</v>
      </c>
      <c r="D75" s="1" t="str">
        <v>Female</v>
      </c>
      <c r="E75">
        <v>1</v>
      </c>
      <c r="F75" t="s">
        <v>21</v>
      </c>
      <c r="G75" t="s">
        <v>24</v>
      </c>
      <c r="H75" t="s">
        <v>27</v>
      </c>
      <c r="I75">
        <v>5954</v>
      </c>
      <c r="J75" s="2" t="s">
        <v>42</v>
      </c>
      <c r="K75" s="1" t="str">
        <f t="shared" si="3"/>
        <v>Clean</v>
      </c>
      <c r="L75" s="1" t="b">
        <v>1</v>
      </c>
      <c r="M75" s="1" t="str">
        <f t="shared" si="4"/>
        <v>Valid</v>
      </c>
      <c r="N75">
        <v>42</v>
      </c>
      <c r="O75" s="1" t="str">
        <f t="shared" si="5"/>
        <v>Valid</v>
      </c>
      <c r="P75" t="s">
        <v>15</v>
      </c>
      <c r="Q75" s="1" t="str">
        <v>Business</v>
      </c>
      <c r="R75">
        <v>1</v>
      </c>
      <c r="S75" s="2" t="s">
        <v>34</v>
      </c>
    </row>
    <row r="76" spans="1:19" x14ac:dyDescent="0.35">
      <c r="A76">
        <v>40</v>
      </c>
      <c r="B76" s="2" t="s">
        <v>39</v>
      </c>
      <c r="C76" t="s">
        <v>19</v>
      </c>
      <c r="D76" s="1" t="str">
        <v>Male</v>
      </c>
      <c r="E76">
        <v>3</v>
      </c>
      <c r="F76" t="s">
        <v>21</v>
      </c>
      <c r="G76" t="s">
        <v>10</v>
      </c>
      <c r="H76" t="s">
        <v>24</v>
      </c>
      <c r="I76">
        <v>1977</v>
      </c>
      <c r="J76" s="2" t="s">
        <v>41</v>
      </c>
      <c r="K76" s="1" t="str">
        <f t="shared" si="3"/>
        <v>Has Spaces</v>
      </c>
      <c r="L76" s="1" t="b">
        <v>1</v>
      </c>
      <c r="M76" s="1" t="str">
        <f t="shared" si="4"/>
        <v>Valid</v>
      </c>
      <c r="N76">
        <v>36</v>
      </c>
      <c r="O76" s="1" t="str">
        <f t="shared" si="5"/>
        <v>Valid</v>
      </c>
      <c r="P76" t="s">
        <v>12</v>
      </c>
      <c r="Q76" s="1" t="str">
        <v>Education</v>
      </c>
      <c r="R76">
        <v>2</v>
      </c>
      <c r="S76" s="2" t="s">
        <v>35</v>
      </c>
    </row>
    <row r="77" spans="1:19" x14ac:dyDescent="0.35">
      <c r="A77">
        <v>66</v>
      </c>
      <c r="B77" s="2" t="s">
        <v>37</v>
      </c>
      <c r="C77" t="s">
        <v>19</v>
      </c>
      <c r="D77" s="1" t="str">
        <v>Male</v>
      </c>
      <c r="E77">
        <v>3</v>
      </c>
      <c r="F77" t="s">
        <v>22</v>
      </c>
      <c r="G77" t="s">
        <v>24</v>
      </c>
      <c r="H77" t="s">
        <v>24</v>
      </c>
      <c r="I77">
        <v>1526</v>
      </c>
      <c r="J77" s="2" t="s">
        <v>41</v>
      </c>
      <c r="K77" s="1" t="str">
        <f t="shared" si="3"/>
        <v>Has Spaces</v>
      </c>
      <c r="L77" s="1" t="b">
        <v>1</v>
      </c>
      <c r="M77" s="1" t="str">
        <f t="shared" si="4"/>
        <v>Valid</v>
      </c>
      <c r="N77">
        <v>12</v>
      </c>
      <c r="O77" s="1" t="str">
        <f t="shared" si="5"/>
        <v>Valid</v>
      </c>
      <c r="P77" t="s">
        <v>14</v>
      </c>
      <c r="Q77" s="1" t="str">
        <v>Car</v>
      </c>
      <c r="R77">
        <v>1</v>
      </c>
      <c r="S77" s="2" t="s">
        <v>34</v>
      </c>
    </row>
    <row r="78" spans="1:19" x14ac:dyDescent="0.35">
      <c r="A78">
        <v>34</v>
      </c>
      <c r="B78" s="2" t="s">
        <v>39</v>
      </c>
      <c r="C78" t="s">
        <v>19</v>
      </c>
      <c r="D78" s="1" t="str">
        <v>Male</v>
      </c>
      <c r="E78">
        <v>2</v>
      </c>
      <c r="F78" t="s">
        <v>21</v>
      </c>
      <c r="G78" t="s">
        <v>24</v>
      </c>
      <c r="H78" t="s">
        <v>24</v>
      </c>
      <c r="I78">
        <v>3965</v>
      </c>
      <c r="J78" s="2" t="s">
        <v>43</v>
      </c>
      <c r="K78" s="1" t="str">
        <f t="shared" si="3"/>
        <v>Clean</v>
      </c>
      <c r="L78" s="1" t="b">
        <v>1</v>
      </c>
      <c r="M78" s="1" t="str">
        <f t="shared" si="4"/>
        <v>Valid</v>
      </c>
      <c r="N78">
        <v>42</v>
      </c>
      <c r="O78" s="1" t="str">
        <f t="shared" si="5"/>
        <v>Valid</v>
      </c>
      <c r="P78" t="s">
        <v>11</v>
      </c>
      <c r="Q78" s="1" t="str">
        <v>Radio/Tv</v>
      </c>
      <c r="R78">
        <v>2</v>
      </c>
      <c r="S78" s="2" t="s">
        <v>35</v>
      </c>
    </row>
    <row r="79" spans="1:19" x14ac:dyDescent="0.35">
      <c r="A79">
        <v>51</v>
      </c>
      <c r="B79" s="2" t="s">
        <v>37</v>
      </c>
      <c r="C79" t="s">
        <v>19</v>
      </c>
      <c r="D79" s="1" t="str">
        <v>Male</v>
      </c>
      <c r="E79">
        <v>2</v>
      </c>
      <c r="F79" t="s">
        <v>21</v>
      </c>
      <c r="G79" t="s">
        <v>24</v>
      </c>
      <c r="H79" t="s">
        <v>27</v>
      </c>
      <c r="I79">
        <v>4771</v>
      </c>
      <c r="J79" s="2" t="s">
        <v>43</v>
      </c>
      <c r="K79" s="1" t="str">
        <f t="shared" si="3"/>
        <v>Clean</v>
      </c>
      <c r="L79" s="1" t="b">
        <v>1</v>
      </c>
      <c r="M79" s="1" t="str">
        <f t="shared" si="4"/>
        <v>Valid</v>
      </c>
      <c r="N79">
        <v>11</v>
      </c>
      <c r="O79" s="1" t="str">
        <f t="shared" si="5"/>
        <v>Valid</v>
      </c>
      <c r="P79" t="s">
        <v>11</v>
      </c>
      <c r="Q79" s="1" t="str">
        <v>Radio/Tv</v>
      </c>
      <c r="R79">
        <v>1</v>
      </c>
      <c r="S79" s="2" t="s">
        <v>34</v>
      </c>
    </row>
    <row r="80" spans="1:19" x14ac:dyDescent="0.35">
      <c r="A80">
        <v>39</v>
      </c>
      <c r="B80" s="2" t="s">
        <v>39</v>
      </c>
      <c r="C80" t="s">
        <v>19</v>
      </c>
      <c r="D80" s="1" t="str">
        <v>Male</v>
      </c>
      <c r="E80">
        <v>1</v>
      </c>
      <c r="F80" t="s">
        <v>21</v>
      </c>
      <c r="G80" t="s">
        <v>10</v>
      </c>
      <c r="H80" t="s">
        <v>10</v>
      </c>
      <c r="I80">
        <v>9436</v>
      </c>
      <c r="J80" s="2" t="s">
        <v>42</v>
      </c>
      <c r="K80" s="1" t="str">
        <f t="shared" si="3"/>
        <v>Clean</v>
      </c>
      <c r="L80" s="1" t="b">
        <v>1</v>
      </c>
      <c r="M80" s="1" t="str">
        <f t="shared" si="4"/>
        <v>Valid</v>
      </c>
      <c r="N80">
        <v>54</v>
      </c>
      <c r="O80" s="1" t="str">
        <f t="shared" si="5"/>
        <v>Valid</v>
      </c>
      <c r="P80" t="s">
        <v>14</v>
      </c>
      <c r="Q80" s="1" t="str">
        <v>Car</v>
      </c>
      <c r="R80">
        <v>1</v>
      </c>
      <c r="S80" s="2" t="s">
        <v>34</v>
      </c>
    </row>
    <row r="81" spans="1:19" x14ac:dyDescent="0.35">
      <c r="A81">
        <v>22</v>
      </c>
      <c r="B81" s="2" t="s">
        <v>38</v>
      </c>
      <c r="C81" t="s">
        <v>19</v>
      </c>
      <c r="D81" s="1" t="str">
        <v>Male</v>
      </c>
      <c r="E81">
        <v>2</v>
      </c>
      <c r="F81" t="s">
        <v>21</v>
      </c>
      <c r="G81" t="s">
        <v>24</v>
      </c>
      <c r="H81" t="s">
        <v>27</v>
      </c>
      <c r="I81">
        <v>3832</v>
      </c>
      <c r="J81" s="2" t="s">
        <v>43</v>
      </c>
      <c r="K81" s="1" t="str">
        <f t="shared" si="3"/>
        <v>Clean</v>
      </c>
      <c r="L81" s="1" t="b">
        <v>1</v>
      </c>
      <c r="M81" s="1" t="str">
        <f t="shared" si="4"/>
        <v>Valid</v>
      </c>
      <c r="N81">
        <v>30</v>
      </c>
      <c r="O81" s="1" t="str">
        <f t="shared" si="5"/>
        <v>Valid</v>
      </c>
      <c r="P81" t="s">
        <v>13</v>
      </c>
      <c r="Q81" s="1" t="str">
        <v>Furniture/Equipment</v>
      </c>
      <c r="R81">
        <v>1</v>
      </c>
      <c r="S81" s="2" t="s">
        <v>34</v>
      </c>
    </row>
    <row r="82" spans="1:19" x14ac:dyDescent="0.35">
      <c r="A82">
        <v>44</v>
      </c>
      <c r="B82" s="2" t="s">
        <v>39</v>
      </c>
      <c r="C82" t="s">
        <v>20</v>
      </c>
      <c r="D82" s="1" t="str">
        <v>Female</v>
      </c>
      <c r="E82">
        <v>2</v>
      </c>
      <c r="F82" t="s">
        <v>21</v>
      </c>
      <c r="G82" t="s">
        <v>10</v>
      </c>
      <c r="H82" t="s">
        <v>10</v>
      </c>
      <c r="I82">
        <v>5943</v>
      </c>
      <c r="J82" s="2" t="s">
        <v>42</v>
      </c>
      <c r="K82" s="1" t="str">
        <f t="shared" si="3"/>
        <v>Clean</v>
      </c>
      <c r="L82" s="1" t="b">
        <v>1</v>
      </c>
      <c r="M82" s="1" t="str">
        <f t="shared" si="4"/>
        <v>Valid</v>
      </c>
      <c r="N82">
        <v>24</v>
      </c>
      <c r="O82" s="1" t="str">
        <f t="shared" si="5"/>
        <v>Valid</v>
      </c>
      <c r="P82" t="s">
        <v>11</v>
      </c>
      <c r="Q82" s="1" t="str">
        <v>Radio/Tv</v>
      </c>
      <c r="R82">
        <v>2</v>
      </c>
      <c r="S82" s="2" t="s">
        <v>35</v>
      </c>
    </row>
    <row r="83" spans="1:19" x14ac:dyDescent="0.35">
      <c r="A83">
        <v>47</v>
      </c>
      <c r="B83" s="2" t="s">
        <v>39</v>
      </c>
      <c r="C83" t="s">
        <v>19</v>
      </c>
      <c r="D83" s="1" t="str">
        <v>Male</v>
      </c>
      <c r="E83">
        <v>2</v>
      </c>
      <c r="F83" t="s">
        <v>21</v>
      </c>
      <c r="G83" t="s">
        <v>25</v>
      </c>
      <c r="H83" t="s">
        <v>10</v>
      </c>
      <c r="I83">
        <v>1213</v>
      </c>
      <c r="J83" s="2" t="s">
        <v>41</v>
      </c>
      <c r="K83" s="1" t="str">
        <f t="shared" si="3"/>
        <v>Has Spaces</v>
      </c>
      <c r="L83" s="1" t="b">
        <v>1</v>
      </c>
      <c r="M83" s="1" t="str">
        <f t="shared" si="4"/>
        <v>Valid</v>
      </c>
      <c r="N83">
        <v>15</v>
      </c>
      <c r="O83" s="1" t="str">
        <f t="shared" si="5"/>
        <v>Valid</v>
      </c>
      <c r="P83" t="s">
        <v>11</v>
      </c>
      <c r="Q83" s="1" t="str">
        <v>Radio/Tv</v>
      </c>
      <c r="R83">
        <v>1</v>
      </c>
      <c r="S83" s="2" t="s">
        <v>34</v>
      </c>
    </row>
    <row r="84" spans="1:19" x14ac:dyDescent="0.35">
      <c r="A84">
        <v>24</v>
      </c>
      <c r="B84" s="2" t="s">
        <v>38</v>
      </c>
      <c r="C84" t="s">
        <v>20</v>
      </c>
      <c r="D84" s="1" t="str">
        <v>Female</v>
      </c>
      <c r="E84">
        <v>1</v>
      </c>
      <c r="F84" t="s">
        <v>23</v>
      </c>
      <c r="G84" t="s">
        <v>27</v>
      </c>
      <c r="H84" t="s">
        <v>10</v>
      </c>
      <c r="I84">
        <v>1568</v>
      </c>
      <c r="J84" s="2" t="s">
        <v>41</v>
      </c>
      <c r="K84" s="1" t="str">
        <f t="shared" si="3"/>
        <v>Has Spaces</v>
      </c>
      <c r="L84" s="1" t="b">
        <v>1</v>
      </c>
      <c r="M84" s="1" t="str">
        <f t="shared" si="4"/>
        <v>Valid</v>
      </c>
      <c r="N84">
        <v>18</v>
      </c>
      <c r="O84" s="1" t="str">
        <f t="shared" si="5"/>
        <v>Valid</v>
      </c>
      <c r="P84" t="s">
        <v>15</v>
      </c>
      <c r="Q84" s="1" t="str">
        <v>Business</v>
      </c>
      <c r="R84">
        <v>1</v>
      </c>
      <c r="S84" s="2" t="s">
        <v>34</v>
      </c>
    </row>
    <row r="85" spans="1:19" x14ac:dyDescent="0.35">
      <c r="A85">
        <v>58</v>
      </c>
      <c r="B85" s="2" t="s">
        <v>37</v>
      </c>
      <c r="C85" t="s">
        <v>20</v>
      </c>
      <c r="D85" s="1" t="str">
        <v>Female</v>
      </c>
      <c r="E85">
        <v>1</v>
      </c>
      <c r="F85" t="s">
        <v>21</v>
      </c>
      <c r="G85" t="s">
        <v>24</v>
      </c>
      <c r="H85" t="s">
        <v>24</v>
      </c>
      <c r="I85">
        <v>1755</v>
      </c>
      <c r="J85" s="2" t="s">
        <v>41</v>
      </c>
      <c r="K85" s="1" t="str">
        <f t="shared" si="3"/>
        <v>Has Spaces</v>
      </c>
      <c r="L85" s="1" t="b">
        <v>1</v>
      </c>
      <c r="M85" s="1" t="str">
        <f t="shared" si="4"/>
        <v>Valid</v>
      </c>
      <c r="N85">
        <v>24</v>
      </c>
      <c r="O85" s="1" t="str">
        <f t="shared" si="5"/>
        <v>Valid</v>
      </c>
      <c r="P85" t="s">
        <v>18</v>
      </c>
      <c r="Q85" s="1" t="str">
        <v>Vacation/Others</v>
      </c>
      <c r="R85">
        <v>1</v>
      </c>
      <c r="S85" s="2" t="s">
        <v>34</v>
      </c>
    </row>
    <row r="86" spans="1:19" x14ac:dyDescent="0.35">
      <c r="A86">
        <v>52</v>
      </c>
      <c r="B86" s="2" t="s">
        <v>37</v>
      </c>
      <c r="C86" t="s">
        <v>19</v>
      </c>
      <c r="D86" s="1" t="str">
        <v>Male</v>
      </c>
      <c r="E86">
        <v>1</v>
      </c>
      <c r="F86" t="s">
        <v>21</v>
      </c>
      <c r="G86" t="s">
        <v>24</v>
      </c>
      <c r="H86" t="s">
        <v>24</v>
      </c>
      <c r="I86">
        <v>2315</v>
      </c>
      <c r="J86" s="2" t="s">
        <v>43</v>
      </c>
      <c r="K86" s="1" t="str">
        <f t="shared" si="3"/>
        <v>Clean</v>
      </c>
      <c r="L86" s="1" t="b">
        <v>1</v>
      </c>
      <c r="M86" s="1" t="str">
        <f t="shared" si="4"/>
        <v>Valid</v>
      </c>
      <c r="N86">
        <v>10</v>
      </c>
      <c r="O86" s="1" t="str">
        <f t="shared" si="5"/>
        <v>Valid</v>
      </c>
      <c r="P86" t="s">
        <v>11</v>
      </c>
      <c r="Q86" s="1" t="str">
        <v>Radio/Tv</v>
      </c>
      <c r="R86">
        <v>1</v>
      </c>
      <c r="S86" s="2" t="s">
        <v>34</v>
      </c>
    </row>
    <row r="87" spans="1:19" x14ac:dyDescent="0.35">
      <c r="A87">
        <v>29</v>
      </c>
      <c r="B87" s="2" t="s">
        <v>38</v>
      </c>
      <c r="C87" t="s">
        <v>20</v>
      </c>
      <c r="D87" s="1" t="str">
        <v>Female</v>
      </c>
      <c r="E87">
        <v>3</v>
      </c>
      <c r="F87" t="s">
        <v>21</v>
      </c>
      <c r="G87" t="s">
        <v>24</v>
      </c>
      <c r="H87" t="s">
        <v>10</v>
      </c>
      <c r="I87">
        <v>1412</v>
      </c>
      <c r="J87" s="2" t="s">
        <v>41</v>
      </c>
      <c r="K87" s="1" t="str">
        <f t="shared" si="3"/>
        <v>Has Spaces</v>
      </c>
      <c r="L87" s="1" t="b">
        <v>1</v>
      </c>
      <c r="M87" s="1" t="str">
        <f t="shared" si="4"/>
        <v>Valid</v>
      </c>
      <c r="N87">
        <v>12</v>
      </c>
      <c r="O87" s="1" t="str">
        <f t="shared" si="5"/>
        <v>Valid</v>
      </c>
      <c r="P87" t="s">
        <v>15</v>
      </c>
      <c r="Q87" s="1" t="str">
        <v>Business</v>
      </c>
      <c r="R87">
        <v>1</v>
      </c>
      <c r="S87" s="2" t="s">
        <v>34</v>
      </c>
    </row>
    <row r="88" spans="1:19" x14ac:dyDescent="0.35">
      <c r="A88">
        <v>27</v>
      </c>
      <c r="B88" s="2" t="s">
        <v>38</v>
      </c>
      <c r="C88" t="s">
        <v>20</v>
      </c>
      <c r="D88" s="1" t="str">
        <v>Female</v>
      </c>
      <c r="E88">
        <v>2</v>
      </c>
      <c r="F88" t="s">
        <v>21</v>
      </c>
      <c r="G88" t="s">
        <v>24</v>
      </c>
      <c r="H88" t="s">
        <v>27</v>
      </c>
      <c r="I88">
        <v>1295</v>
      </c>
      <c r="J88" s="2" t="s">
        <v>41</v>
      </c>
      <c r="K88" s="1" t="str">
        <f t="shared" si="3"/>
        <v>Has Spaces</v>
      </c>
      <c r="L88" s="1" t="b">
        <v>1</v>
      </c>
      <c r="M88" s="1" t="str">
        <f t="shared" si="4"/>
        <v>Valid</v>
      </c>
      <c r="N88">
        <v>18</v>
      </c>
      <c r="O88" s="1" t="str">
        <f t="shared" si="5"/>
        <v>Valid</v>
      </c>
      <c r="P88" t="s">
        <v>13</v>
      </c>
      <c r="Q88" s="1" t="str">
        <v>Furniture/Equipment</v>
      </c>
      <c r="R88">
        <v>1</v>
      </c>
      <c r="S88" s="2" t="s">
        <v>34</v>
      </c>
    </row>
    <row r="89" spans="1:19" x14ac:dyDescent="0.35">
      <c r="A89">
        <v>47</v>
      </c>
      <c r="B89" s="2" t="s">
        <v>39</v>
      </c>
      <c r="C89" t="s">
        <v>19</v>
      </c>
      <c r="D89" s="1" t="str">
        <v>Male</v>
      </c>
      <c r="E89">
        <v>2</v>
      </c>
      <c r="F89" t="s">
        <v>22</v>
      </c>
      <c r="G89" t="s">
        <v>27</v>
      </c>
      <c r="H89" t="s">
        <v>27</v>
      </c>
      <c r="I89">
        <v>12612</v>
      </c>
      <c r="J89" s="2" t="s">
        <v>42</v>
      </c>
      <c r="K89" s="1" t="str">
        <f t="shared" si="3"/>
        <v>Clean</v>
      </c>
      <c r="L89" s="1" t="b">
        <v>1</v>
      </c>
      <c r="M89" s="1" t="str">
        <f t="shared" si="4"/>
        <v>Valid</v>
      </c>
      <c r="N89">
        <v>36</v>
      </c>
      <c r="O89" s="1" t="str">
        <f t="shared" si="5"/>
        <v>Valid</v>
      </c>
      <c r="P89" t="s">
        <v>12</v>
      </c>
      <c r="Q89" s="1" t="str">
        <v>Education</v>
      </c>
      <c r="R89">
        <v>2</v>
      </c>
      <c r="S89" s="2" t="s">
        <v>35</v>
      </c>
    </row>
    <row r="90" spans="1:19" x14ac:dyDescent="0.35">
      <c r="A90">
        <v>30</v>
      </c>
      <c r="B90" s="2" t="s">
        <v>39</v>
      </c>
      <c r="C90" t="s">
        <v>19</v>
      </c>
      <c r="D90" s="1" t="str">
        <v>Male</v>
      </c>
      <c r="E90">
        <v>3</v>
      </c>
      <c r="F90" t="s">
        <v>21</v>
      </c>
      <c r="G90" t="s">
        <v>27</v>
      </c>
      <c r="H90" t="s">
        <v>24</v>
      </c>
      <c r="I90">
        <v>2249</v>
      </c>
      <c r="J90" s="2" t="s">
        <v>43</v>
      </c>
      <c r="K90" s="1" t="str">
        <f t="shared" si="3"/>
        <v>Clean</v>
      </c>
      <c r="L90" s="1" t="b">
        <v>1</v>
      </c>
      <c r="M90" s="1" t="str">
        <f t="shared" si="4"/>
        <v>Valid</v>
      </c>
      <c r="N90">
        <v>18</v>
      </c>
      <c r="O90" s="1" t="str">
        <f t="shared" si="5"/>
        <v>Valid</v>
      </c>
      <c r="P90" t="s">
        <v>14</v>
      </c>
      <c r="Q90" s="1" t="str">
        <v>Car</v>
      </c>
      <c r="R90">
        <v>1</v>
      </c>
      <c r="S90" s="2" t="s">
        <v>34</v>
      </c>
    </row>
    <row r="91" spans="1:19" x14ac:dyDescent="0.35">
      <c r="A91">
        <v>28</v>
      </c>
      <c r="B91" s="2" t="s">
        <v>38</v>
      </c>
      <c r="C91" t="s">
        <v>19</v>
      </c>
      <c r="D91" s="1" t="str">
        <v>Male</v>
      </c>
      <c r="E91">
        <v>2</v>
      </c>
      <c r="F91" t="s">
        <v>21</v>
      </c>
      <c r="G91" t="s">
        <v>24</v>
      </c>
      <c r="H91" t="s">
        <v>24</v>
      </c>
      <c r="I91">
        <v>1108</v>
      </c>
      <c r="J91" s="2" t="s">
        <v>41</v>
      </c>
      <c r="K91" s="1" t="str">
        <f t="shared" si="3"/>
        <v>Has Spaces</v>
      </c>
      <c r="L91" s="1" t="b">
        <v>1</v>
      </c>
      <c r="M91" s="1" t="str">
        <f t="shared" si="4"/>
        <v>Valid</v>
      </c>
      <c r="N91">
        <v>12</v>
      </c>
      <c r="O91" s="1" t="str">
        <f t="shared" si="5"/>
        <v>Valid</v>
      </c>
      <c r="P91" t="s">
        <v>17</v>
      </c>
      <c r="Q91" s="1" t="str">
        <v>Repairs</v>
      </c>
      <c r="R91">
        <v>2</v>
      </c>
      <c r="S91" s="2" t="s">
        <v>35</v>
      </c>
    </row>
    <row r="92" spans="1:19" x14ac:dyDescent="0.35">
      <c r="A92">
        <v>56</v>
      </c>
      <c r="B92" s="2" t="s">
        <v>37</v>
      </c>
      <c r="C92" t="s">
        <v>19</v>
      </c>
      <c r="D92" s="1" t="str">
        <v>Male</v>
      </c>
      <c r="E92">
        <v>2</v>
      </c>
      <c r="F92" t="s">
        <v>21</v>
      </c>
      <c r="G92" t="s">
        <v>24</v>
      </c>
      <c r="H92" t="s">
        <v>10</v>
      </c>
      <c r="I92">
        <v>618</v>
      </c>
      <c r="J92" s="2" t="s">
        <v>41</v>
      </c>
      <c r="K92" s="1" t="str">
        <f t="shared" si="3"/>
        <v>Has Spaces</v>
      </c>
      <c r="L92" s="1" t="b">
        <v>1</v>
      </c>
      <c r="M92" s="1" t="str">
        <f t="shared" si="4"/>
        <v>Valid</v>
      </c>
      <c r="N92">
        <v>12</v>
      </c>
      <c r="O92" s="1" t="str">
        <f t="shared" si="5"/>
        <v>Valid</v>
      </c>
      <c r="P92" t="s">
        <v>11</v>
      </c>
      <c r="Q92" s="1" t="str">
        <v>Radio/Tv</v>
      </c>
      <c r="R92">
        <v>1</v>
      </c>
      <c r="S92" s="2" t="s">
        <v>34</v>
      </c>
    </row>
    <row r="93" spans="1:19" x14ac:dyDescent="0.35">
      <c r="A93">
        <v>54</v>
      </c>
      <c r="B93" s="2" t="s">
        <v>37</v>
      </c>
      <c r="C93" t="s">
        <v>19</v>
      </c>
      <c r="D93" s="1" t="str">
        <v>Male</v>
      </c>
      <c r="E93">
        <v>2</v>
      </c>
      <c r="F93" t="s">
        <v>21</v>
      </c>
      <c r="G93" t="s">
        <v>24</v>
      </c>
      <c r="H93" t="s">
        <v>24</v>
      </c>
      <c r="I93">
        <v>1409</v>
      </c>
      <c r="J93" s="2" t="s">
        <v>41</v>
      </c>
      <c r="K93" s="1" t="str">
        <f t="shared" si="3"/>
        <v>Has Spaces</v>
      </c>
      <c r="L93" s="1" t="b">
        <v>1</v>
      </c>
      <c r="M93" s="1" t="str">
        <f t="shared" si="4"/>
        <v>Valid</v>
      </c>
      <c r="N93">
        <v>12</v>
      </c>
      <c r="O93" s="1" t="str">
        <f t="shared" si="5"/>
        <v>Valid</v>
      </c>
      <c r="P93" t="s">
        <v>14</v>
      </c>
      <c r="Q93" s="1" t="str">
        <v>Car</v>
      </c>
      <c r="R93">
        <v>1</v>
      </c>
      <c r="S93" s="2" t="s">
        <v>34</v>
      </c>
    </row>
    <row r="94" spans="1:19" x14ac:dyDescent="0.35">
      <c r="A94">
        <v>33</v>
      </c>
      <c r="B94" s="2" t="s">
        <v>39</v>
      </c>
      <c r="C94" t="s">
        <v>20</v>
      </c>
      <c r="D94" s="1" t="str">
        <v>Female</v>
      </c>
      <c r="E94">
        <v>1</v>
      </c>
      <c r="F94" t="s">
        <v>21</v>
      </c>
      <c r="G94" t="s">
        <v>10</v>
      </c>
      <c r="H94" t="s">
        <v>10</v>
      </c>
      <c r="I94">
        <v>797</v>
      </c>
      <c r="J94" s="2" t="s">
        <v>41</v>
      </c>
      <c r="K94" s="1" t="str">
        <f t="shared" si="3"/>
        <v>Has Spaces</v>
      </c>
      <c r="L94" s="1" t="b">
        <v>1</v>
      </c>
      <c r="M94" s="1" t="str">
        <f t="shared" si="4"/>
        <v>Valid</v>
      </c>
      <c r="N94">
        <v>12</v>
      </c>
      <c r="O94" s="1" t="str">
        <f t="shared" si="5"/>
        <v>Valid</v>
      </c>
      <c r="P94" t="s">
        <v>11</v>
      </c>
      <c r="Q94" s="1" t="str">
        <v>Radio/Tv</v>
      </c>
      <c r="R94">
        <v>2</v>
      </c>
      <c r="S94" s="2" t="s">
        <v>35</v>
      </c>
    </row>
    <row r="95" spans="1:19" x14ac:dyDescent="0.35">
      <c r="A95">
        <v>20</v>
      </c>
      <c r="B95" s="2" t="s">
        <v>38</v>
      </c>
      <c r="C95" t="s">
        <v>19</v>
      </c>
      <c r="D95" s="1" t="str">
        <v>Male</v>
      </c>
      <c r="E95">
        <v>2</v>
      </c>
      <c r="F95" t="s">
        <v>23</v>
      </c>
      <c r="G95" t="s">
        <v>10</v>
      </c>
      <c r="H95" t="s">
        <v>26</v>
      </c>
      <c r="I95">
        <v>3617</v>
      </c>
      <c r="J95" s="2" t="s">
        <v>43</v>
      </c>
      <c r="K95" s="1" t="str">
        <f t="shared" si="3"/>
        <v>Clean</v>
      </c>
      <c r="L95" s="1" t="b">
        <v>1</v>
      </c>
      <c r="M95" s="1" t="str">
        <f t="shared" si="4"/>
        <v>Valid</v>
      </c>
      <c r="N95">
        <v>24</v>
      </c>
      <c r="O95" s="1" t="str">
        <f t="shared" si="5"/>
        <v>Valid</v>
      </c>
      <c r="P95" t="s">
        <v>13</v>
      </c>
      <c r="Q95" s="1" t="str">
        <v>Furniture/Equipment</v>
      </c>
      <c r="R95">
        <v>1</v>
      </c>
      <c r="S95" s="2" t="s">
        <v>34</v>
      </c>
    </row>
    <row r="96" spans="1:19" x14ac:dyDescent="0.35">
      <c r="A96">
        <v>54</v>
      </c>
      <c r="B96" s="2" t="s">
        <v>37</v>
      </c>
      <c r="C96" t="s">
        <v>19</v>
      </c>
      <c r="D96" s="1" t="str">
        <v>Male</v>
      </c>
      <c r="E96">
        <v>2</v>
      </c>
      <c r="F96" t="s">
        <v>21</v>
      </c>
      <c r="G96" t="s">
        <v>26</v>
      </c>
      <c r="H96" t="s">
        <v>27</v>
      </c>
      <c r="I96">
        <v>1318</v>
      </c>
      <c r="J96" s="2" t="s">
        <v>41</v>
      </c>
      <c r="K96" s="1" t="str">
        <f t="shared" si="3"/>
        <v>Has Spaces</v>
      </c>
      <c r="L96" s="1" t="b">
        <v>1</v>
      </c>
      <c r="M96" s="1" t="str">
        <f t="shared" si="4"/>
        <v>Valid</v>
      </c>
      <c r="N96">
        <v>12</v>
      </c>
      <c r="O96" s="1" t="str">
        <f t="shared" si="5"/>
        <v>Valid</v>
      </c>
      <c r="P96" t="s">
        <v>14</v>
      </c>
      <c r="Q96" s="1" t="str">
        <v>Car</v>
      </c>
      <c r="R96">
        <v>1</v>
      </c>
      <c r="S96" s="2" t="s">
        <v>34</v>
      </c>
    </row>
    <row r="97" spans="1:19" x14ac:dyDescent="0.35">
      <c r="A97">
        <v>58</v>
      </c>
      <c r="B97" s="2" t="s">
        <v>37</v>
      </c>
      <c r="C97" t="s">
        <v>19</v>
      </c>
      <c r="D97" s="1" t="str">
        <v>Male</v>
      </c>
      <c r="E97">
        <v>2</v>
      </c>
      <c r="F97" t="s">
        <v>23</v>
      </c>
      <c r="G97" t="s">
        <v>24</v>
      </c>
      <c r="H97" t="s">
        <v>27</v>
      </c>
      <c r="I97">
        <v>15945</v>
      </c>
      <c r="J97" s="2" t="s">
        <v>42</v>
      </c>
      <c r="K97" s="1" t="str">
        <f t="shared" si="3"/>
        <v>Clean</v>
      </c>
      <c r="L97" s="1" t="b">
        <v>1</v>
      </c>
      <c r="M97" s="1" t="str">
        <f t="shared" si="4"/>
        <v>Valid</v>
      </c>
      <c r="N97">
        <v>54</v>
      </c>
      <c r="O97" s="1" t="str">
        <f t="shared" si="5"/>
        <v>Valid</v>
      </c>
      <c r="P97" t="s">
        <v>15</v>
      </c>
      <c r="Q97" s="1" t="str">
        <v>Business</v>
      </c>
      <c r="R97">
        <v>2</v>
      </c>
      <c r="S97" s="2" t="s">
        <v>35</v>
      </c>
    </row>
    <row r="98" spans="1:19" x14ac:dyDescent="0.35">
      <c r="A98">
        <v>61</v>
      </c>
      <c r="B98" s="2" t="s">
        <v>37</v>
      </c>
      <c r="C98" t="s">
        <v>20</v>
      </c>
      <c r="D98" s="1" t="str">
        <v>Female</v>
      </c>
      <c r="E98">
        <v>2</v>
      </c>
      <c r="F98" t="s">
        <v>21</v>
      </c>
      <c r="G98" t="s">
        <v>10</v>
      </c>
      <c r="H98" t="s">
        <v>10</v>
      </c>
      <c r="I98">
        <v>2012</v>
      </c>
      <c r="J98" s="2" t="s">
        <v>43</v>
      </c>
      <c r="K98" s="1" t="str">
        <f t="shared" si="3"/>
        <v>Clean</v>
      </c>
      <c r="L98" s="1" t="b">
        <v>1</v>
      </c>
      <c r="M98" s="1" t="str">
        <f t="shared" si="4"/>
        <v>Valid</v>
      </c>
      <c r="N98">
        <v>12</v>
      </c>
      <c r="O98" s="1" t="str">
        <f t="shared" si="5"/>
        <v>Valid</v>
      </c>
      <c r="P98" t="s">
        <v>12</v>
      </c>
      <c r="Q98" s="1" t="str">
        <v>Education</v>
      </c>
      <c r="R98">
        <v>1</v>
      </c>
      <c r="S98" s="2" t="s">
        <v>34</v>
      </c>
    </row>
    <row r="99" spans="1:19" x14ac:dyDescent="0.35">
      <c r="A99">
        <v>34</v>
      </c>
      <c r="B99" s="2" t="s">
        <v>39</v>
      </c>
      <c r="C99" t="s">
        <v>19</v>
      </c>
      <c r="D99" s="1" t="str">
        <v>Male</v>
      </c>
      <c r="E99">
        <v>2</v>
      </c>
      <c r="F99" t="s">
        <v>21</v>
      </c>
      <c r="G99" t="s">
        <v>27</v>
      </c>
      <c r="H99" t="s">
        <v>27</v>
      </c>
      <c r="I99">
        <v>2622</v>
      </c>
      <c r="J99" s="2" t="s">
        <v>43</v>
      </c>
      <c r="K99" s="1" t="str">
        <f t="shared" si="3"/>
        <v>Clean</v>
      </c>
      <c r="L99" s="1" t="b">
        <v>1</v>
      </c>
      <c r="M99" s="1" t="str">
        <f t="shared" si="4"/>
        <v>Valid</v>
      </c>
      <c r="N99">
        <v>18</v>
      </c>
      <c r="O99" s="1" t="str">
        <f t="shared" si="5"/>
        <v>Valid</v>
      </c>
      <c r="P99" t="s">
        <v>15</v>
      </c>
      <c r="Q99" s="1" t="str">
        <v>Business</v>
      </c>
      <c r="R99">
        <v>1</v>
      </c>
      <c r="S99" s="2" t="s">
        <v>34</v>
      </c>
    </row>
    <row r="100" spans="1:19" x14ac:dyDescent="0.35">
      <c r="A100">
        <v>36</v>
      </c>
      <c r="B100" s="2" t="s">
        <v>39</v>
      </c>
      <c r="C100" t="s">
        <v>19</v>
      </c>
      <c r="D100" s="1" t="str">
        <v>Male</v>
      </c>
      <c r="E100">
        <v>2</v>
      </c>
      <c r="F100" t="s">
        <v>21</v>
      </c>
      <c r="G100" t="s">
        <v>24</v>
      </c>
      <c r="H100" t="s">
        <v>27</v>
      </c>
      <c r="I100">
        <v>2337</v>
      </c>
      <c r="J100" s="2" t="s">
        <v>43</v>
      </c>
      <c r="K100" s="1" t="str">
        <f t="shared" si="3"/>
        <v>Clean</v>
      </c>
      <c r="L100" s="1" t="b">
        <v>1</v>
      </c>
      <c r="M100" s="1" t="str">
        <f t="shared" si="4"/>
        <v>Valid</v>
      </c>
      <c r="N100">
        <v>36</v>
      </c>
      <c r="O100" s="1" t="str">
        <f t="shared" si="5"/>
        <v>Valid</v>
      </c>
      <c r="P100" t="s">
        <v>11</v>
      </c>
      <c r="Q100" s="1" t="str">
        <v>Radio/Tv</v>
      </c>
      <c r="R100">
        <v>1</v>
      </c>
      <c r="S100" s="2" t="s">
        <v>34</v>
      </c>
    </row>
    <row r="101" spans="1:19" x14ac:dyDescent="0.35">
      <c r="A101">
        <v>36</v>
      </c>
      <c r="B101" s="2" t="s">
        <v>39</v>
      </c>
      <c r="C101" t="s">
        <v>19</v>
      </c>
      <c r="D101" s="1" t="str">
        <v>Male</v>
      </c>
      <c r="E101">
        <v>3</v>
      </c>
      <c r="F101" t="s">
        <v>23</v>
      </c>
      <c r="G101" t="s">
        <v>10</v>
      </c>
      <c r="H101" t="s">
        <v>27</v>
      </c>
      <c r="I101">
        <v>7057</v>
      </c>
      <c r="J101" s="2" t="s">
        <v>42</v>
      </c>
      <c r="K101" s="1" t="str">
        <f t="shared" si="3"/>
        <v>Clean</v>
      </c>
      <c r="L101" s="1" t="b">
        <v>1</v>
      </c>
      <c r="M101" s="1" t="str">
        <f t="shared" si="4"/>
        <v>Valid</v>
      </c>
      <c r="N101">
        <v>20</v>
      </c>
      <c r="O101" s="1" t="str">
        <f t="shared" si="5"/>
        <v>Valid</v>
      </c>
      <c r="P101" t="s">
        <v>14</v>
      </c>
      <c r="Q101" s="1" t="str">
        <v>Car</v>
      </c>
      <c r="R101">
        <v>1</v>
      </c>
      <c r="S101" s="2" t="s">
        <v>34</v>
      </c>
    </row>
    <row r="102" spans="1:19" x14ac:dyDescent="0.35">
      <c r="A102">
        <v>41</v>
      </c>
      <c r="B102" s="2" t="s">
        <v>39</v>
      </c>
      <c r="C102" t="s">
        <v>19</v>
      </c>
      <c r="D102" s="1" t="str">
        <v>Male</v>
      </c>
      <c r="E102">
        <v>1</v>
      </c>
      <c r="F102" t="s">
        <v>23</v>
      </c>
      <c r="G102" t="s">
        <v>27</v>
      </c>
      <c r="H102" t="s">
        <v>10</v>
      </c>
      <c r="I102">
        <v>1469</v>
      </c>
      <c r="J102" s="2" t="s">
        <v>41</v>
      </c>
      <c r="K102" s="1" t="str">
        <f t="shared" si="3"/>
        <v>Has Spaces</v>
      </c>
      <c r="L102" s="1" t="b">
        <v>1</v>
      </c>
      <c r="M102" s="1" t="str">
        <f t="shared" si="4"/>
        <v>Valid</v>
      </c>
      <c r="N102">
        <v>24</v>
      </c>
      <c r="O102" s="1" t="str">
        <f t="shared" si="5"/>
        <v>Valid</v>
      </c>
      <c r="P102" t="s">
        <v>14</v>
      </c>
      <c r="Q102" s="1" t="str">
        <v>Car</v>
      </c>
      <c r="R102">
        <v>1</v>
      </c>
      <c r="S102" s="2" t="s">
        <v>34</v>
      </c>
    </row>
    <row r="103" spans="1:19" x14ac:dyDescent="0.35">
      <c r="A103">
        <v>24</v>
      </c>
      <c r="B103" s="2" t="s">
        <v>38</v>
      </c>
      <c r="C103" t="s">
        <v>19</v>
      </c>
      <c r="D103" s="1" t="str">
        <v>Male</v>
      </c>
      <c r="E103">
        <v>2</v>
      </c>
      <c r="F103" t="s">
        <v>23</v>
      </c>
      <c r="G103" t="s">
        <v>24</v>
      </c>
      <c r="H103" t="s">
        <v>27</v>
      </c>
      <c r="I103">
        <v>2323</v>
      </c>
      <c r="J103" s="2" t="s">
        <v>43</v>
      </c>
      <c r="K103" s="1" t="str">
        <f t="shared" si="3"/>
        <v>Clean</v>
      </c>
      <c r="L103" s="1" t="b">
        <v>1</v>
      </c>
      <c r="M103" s="1" t="str">
        <f t="shared" si="4"/>
        <v>Valid</v>
      </c>
      <c r="N103">
        <v>36</v>
      </c>
      <c r="O103" s="1" t="str">
        <f t="shared" si="5"/>
        <v>Valid</v>
      </c>
      <c r="P103" t="s">
        <v>11</v>
      </c>
      <c r="Q103" s="1" t="str">
        <v>Radio/Tv</v>
      </c>
      <c r="R103">
        <v>1</v>
      </c>
      <c r="S103" s="2" t="s">
        <v>34</v>
      </c>
    </row>
    <row r="104" spans="1:19" x14ac:dyDescent="0.35">
      <c r="A104">
        <v>24</v>
      </c>
      <c r="B104" s="2" t="s">
        <v>38</v>
      </c>
      <c r="C104" t="s">
        <v>20</v>
      </c>
      <c r="D104" s="1" t="str">
        <v>Female</v>
      </c>
      <c r="E104">
        <v>2</v>
      </c>
      <c r="F104" t="s">
        <v>21</v>
      </c>
      <c r="G104" t="s">
        <v>24</v>
      </c>
      <c r="H104" t="s">
        <v>10</v>
      </c>
      <c r="I104">
        <v>932</v>
      </c>
      <c r="J104" s="2" t="s">
        <v>41</v>
      </c>
      <c r="K104" s="1" t="str">
        <f t="shared" si="3"/>
        <v>Has Spaces</v>
      </c>
      <c r="L104" s="1" t="b">
        <v>1</v>
      </c>
      <c r="M104" s="1" t="str">
        <f t="shared" si="4"/>
        <v>Valid</v>
      </c>
      <c r="N104">
        <v>6</v>
      </c>
      <c r="O104" s="1" t="str">
        <f t="shared" si="5"/>
        <v>Valid</v>
      </c>
      <c r="P104" t="s">
        <v>11</v>
      </c>
      <c r="Q104" s="1" t="str">
        <v>Radio/Tv</v>
      </c>
      <c r="R104">
        <v>1</v>
      </c>
      <c r="S104" s="2" t="s">
        <v>34</v>
      </c>
    </row>
    <row r="105" spans="1:19" x14ac:dyDescent="0.35">
      <c r="A105">
        <v>35</v>
      </c>
      <c r="B105" s="2" t="s">
        <v>39</v>
      </c>
      <c r="C105" t="s">
        <v>19</v>
      </c>
      <c r="D105" s="1" t="str">
        <v>Male</v>
      </c>
      <c r="E105">
        <v>2</v>
      </c>
      <c r="F105" t="s">
        <v>23</v>
      </c>
      <c r="G105" t="s">
        <v>24</v>
      </c>
      <c r="H105" t="s">
        <v>27</v>
      </c>
      <c r="I105">
        <v>1919</v>
      </c>
      <c r="J105" s="2" t="s">
        <v>41</v>
      </c>
      <c r="K105" s="1" t="str">
        <f t="shared" si="3"/>
        <v>Has Spaces</v>
      </c>
      <c r="L105" s="1" t="b">
        <v>1</v>
      </c>
      <c r="M105" s="1" t="str">
        <f t="shared" si="4"/>
        <v>Valid</v>
      </c>
      <c r="N105">
        <v>9</v>
      </c>
      <c r="O105" s="1" t="str">
        <f t="shared" si="5"/>
        <v>Valid</v>
      </c>
      <c r="P105" t="s">
        <v>13</v>
      </c>
      <c r="Q105" s="1" t="str">
        <v>Furniture/Equipment</v>
      </c>
      <c r="R105">
        <v>1</v>
      </c>
      <c r="S105" s="2" t="s">
        <v>34</v>
      </c>
    </row>
    <row r="106" spans="1:19" x14ac:dyDescent="0.35">
      <c r="A106">
        <v>26</v>
      </c>
      <c r="B106" s="2" t="s">
        <v>38</v>
      </c>
      <c r="C106" t="s">
        <v>19</v>
      </c>
      <c r="D106" s="1" t="str">
        <v>Male</v>
      </c>
      <c r="E106">
        <v>2</v>
      </c>
      <c r="F106" t="s">
        <v>23</v>
      </c>
      <c r="G106" t="s">
        <v>10</v>
      </c>
      <c r="H106" t="s">
        <v>10</v>
      </c>
      <c r="I106">
        <v>2445</v>
      </c>
      <c r="J106" s="2" t="s">
        <v>43</v>
      </c>
      <c r="K106" s="1" t="str">
        <f t="shared" si="3"/>
        <v>Clean</v>
      </c>
      <c r="L106" s="1" t="b">
        <v>1</v>
      </c>
      <c r="M106" s="1" t="str">
        <f t="shared" si="4"/>
        <v>Valid</v>
      </c>
      <c r="N106">
        <v>12</v>
      </c>
      <c r="O106" s="1" t="str">
        <f t="shared" si="5"/>
        <v>Valid</v>
      </c>
      <c r="P106" t="s">
        <v>14</v>
      </c>
      <c r="Q106" s="1" t="str">
        <v>Car</v>
      </c>
      <c r="R106">
        <v>1</v>
      </c>
      <c r="S106" s="2" t="s">
        <v>34</v>
      </c>
    </row>
    <row r="107" spans="1:19" x14ac:dyDescent="0.35">
      <c r="A107">
        <v>39</v>
      </c>
      <c r="B107" s="2" t="s">
        <v>39</v>
      </c>
      <c r="C107" t="s">
        <v>19</v>
      </c>
      <c r="D107" s="1" t="str">
        <v>Male</v>
      </c>
      <c r="E107">
        <v>3</v>
      </c>
      <c r="F107" t="s">
        <v>21</v>
      </c>
      <c r="G107" t="s">
        <v>24</v>
      </c>
      <c r="H107" t="s">
        <v>27</v>
      </c>
      <c r="I107">
        <v>11938</v>
      </c>
      <c r="J107" s="2" t="s">
        <v>42</v>
      </c>
      <c r="K107" s="1" t="str">
        <f t="shared" si="3"/>
        <v>Clean</v>
      </c>
      <c r="L107" s="1" t="b">
        <v>1</v>
      </c>
      <c r="M107" s="1" t="str">
        <f t="shared" si="4"/>
        <v>Valid</v>
      </c>
      <c r="N107">
        <v>24</v>
      </c>
      <c r="O107" s="1" t="str">
        <f t="shared" si="5"/>
        <v>Valid</v>
      </c>
      <c r="P107" t="s">
        <v>18</v>
      </c>
      <c r="Q107" s="1" t="str">
        <v>Vacation/Others</v>
      </c>
      <c r="R107">
        <v>2</v>
      </c>
      <c r="S107" s="2" t="s">
        <v>35</v>
      </c>
    </row>
    <row r="108" spans="1:19" x14ac:dyDescent="0.35">
      <c r="A108">
        <v>39</v>
      </c>
      <c r="B108" s="2" t="s">
        <v>39</v>
      </c>
      <c r="C108" t="s">
        <v>19</v>
      </c>
      <c r="D108" s="1" t="str">
        <v>Male</v>
      </c>
      <c r="E108">
        <v>3</v>
      </c>
      <c r="F108" t="s">
        <v>21</v>
      </c>
      <c r="G108" t="s">
        <v>24</v>
      </c>
      <c r="H108" t="s">
        <v>10</v>
      </c>
      <c r="I108">
        <v>6458</v>
      </c>
      <c r="J108" s="2" t="s">
        <v>42</v>
      </c>
      <c r="K108" s="1" t="str">
        <f t="shared" si="3"/>
        <v>Clean</v>
      </c>
      <c r="L108" s="1" t="b">
        <v>1</v>
      </c>
      <c r="M108" s="1" t="str">
        <f t="shared" si="4"/>
        <v>Valid</v>
      </c>
      <c r="N108">
        <v>18</v>
      </c>
      <c r="O108" s="1" t="str">
        <f t="shared" si="5"/>
        <v>Valid</v>
      </c>
      <c r="P108" t="s">
        <v>14</v>
      </c>
      <c r="Q108" s="1" t="str">
        <v>Car</v>
      </c>
      <c r="R108">
        <v>2</v>
      </c>
      <c r="S108" s="2" t="s">
        <v>35</v>
      </c>
    </row>
    <row r="109" spans="1:19" x14ac:dyDescent="0.35">
      <c r="A109">
        <v>32</v>
      </c>
      <c r="B109" s="2" t="s">
        <v>39</v>
      </c>
      <c r="C109" t="s">
        <v>19</v>
      </c>
      <c r="D109" s="1" t="str">
        <v>Male</v>
      </c>
      <c r="E109">
        <v>2</v>
      </c>
      <c r="F109" t="s">
        <v>21</v>
      </c>
      <c r="G109" t="s">
        <v>24</v>
      </c>
      <c r="H109" t="s">
        <v>27</v>
      </c>
      <c r="I109">
        <v>6078</v>
      </c>
      <c r="J109" s="2" t="s">
        <v>42</v>
      </c>
      <c r="K109" s="1" t="str">
        <f t="shared" si="3"/>
        <v>Clean</v>
      </c>
      <c r="L109" s="1" t="b">
        <v>1</v>
      </c>
      <c r="M109" s="1" t="str">
        <f t="shared" si="4"/>
        <v>Valid</v>
      </c>
      <c r="N109">
        <v>12</v>
      </c>
      <c r="O109" s="1" t="str">
        <f t="shared" si="5"/>
        <v>Valid</v>
      </c>
      <c r="P109" t="s">
        <v>14</v>
      </c>
      <c r="Q109" s="1" t="str">
        <v>Car</v>
      </c>
      <c r="R109">
        <v>1</v>
      </c>
      <c r="S109" s="2" t="s">
        <v>34</v>
      </c>
    </row>
    <row r="110" spans="1:19" x14ac:dyDescent="0.35">
      <c r="A110">
        <v>30</v>
      </c>
      <c r="B110" s="2" t="s">
        <v>39</v>
      </c>
      <c r="C110" t="s">
        <v>20</v>
      </c>
      <c r="D110" s="1" t="str">
        <v>Female</v>
      </c>
      <c r="E110">
        <v>2</v>
      </c>
      <c r="F110" t="s">
        <v>21</v>
      </c>
      <c r="G110" t="s">
        <v>10</v>
      </c>
      <c r="H110" t="s">
        <v>24</v>
      </c>
      <c r="I110">
        <v>7721</v>
      </c>
      <c r="J110" s="2" t="s">
        <v>42</v>
      </c>
      <c r="K110" s="1" t="str">
        <f t="shared" si="3"/>
        <v>Clean</v>
      </c>
      <c r="L110" s="1" t="b">
        <v>1</v>
      </c>
      <c r="M110" s="1" t="str">
        <f t="shared" si="4"/>
        <v>Valid</v>
      </c>
      <c r="N110">
        <v>24</v>
      </c>
      <c r="O110" s="1" t="str">
        <f t="shared" si="5"/>
        <v>Valid</v>
      </c>
      <c r="P110" t="s">
        <v>13</v>
      </c>
      <c r="Q110" s="1" t="str">
        <v>Furniture/Equipment</v>
      </c>
      <c r="R110">
        <v>1</v>
      </c>
      <c r="S110" s="2" t="s">
        <v>34</v>
      </c>
    </row>
    <row r="111" spans="1:19" x14ac:dyDescent="0.35">
      <c r="A111">
        <v>35</v>
      </c>
      <c r="B111" s="2" t="s">
        <v>39</v>
      </c>
      <c r="C111" t="s">
        <v>19</v>
      </c>
      <c r="D111" s="1" t="str">
        <v>Male</v>
      </c>
      <c r="E111">
        <v>2</v>
      </c>
      <c r="F111" t="s">
        <v>21</v>
      </c>
      <c r="G111" t="s">
        <v>25</v>
      </c>
      <c r="H111" t="s">
        <v>27</v>
      </c>
      <c r="I111">
        <v>1410</v>
      </c>
      <c r="J111" s="2" t="s">
        <v>41</v>
      </c>
      <c r="K111" s="1" t="str">
        <f t="shared" si="3"/>
        <v>Has Spaces</v>
      </c>
      <c r="L111" s="1" t="b">
        <v>1</v>
      </c>
      <c r="M111" s="1" t="str">
        <f t="shared" si="4"/>
        <v>Valid</v>
      </c>
      <c r="N111">
        <v>14</v>
      </c>
      <c r="O111" s="1" t="str">
        <f t="shared" si="5"/>
        <v>Valid</v>
      </c>
      <c r="P111" t="s">
        <v>15</v>
      </c>
      <c r="Q111" s="1" t="str">
        <v>Business</v>
      </c>
      <c r="R111">
        <v>1</v>
      </c>
      <c r="S111" s="2" t="s">
        <v>34</v>
      </c>
    </row>
    <row r="112" spans="1:19" x14ac:dyDescent="0.35">
      <c r="A112">
        <v>31</v>
      </c>
      <c r="B112" s="2" t="s">
        <v>39</v>
      </c>
      <c r="C112" t="s">
        <v>19</v>
      </c>
      <c r="D112" s="1" t="str">
        <v>Male</v>
      </c>
      <c r="E112">
        <v>2</v>
      </c>
      <c r="F112" t="s">
        <v>21</v>
      </c>
      <c r="G112" t="s">
        <v>27</v>
      </c>
      <c r="H112" t="s">
        <v>27</v>
      </c>
      <c r="I112">
        <v>1449</v>
      </c>
      <c r="J112" s="2" t="s">
        <v>41</v>
      </c>
      <c r="K112" s="1" t="str">
        <f t="shared" si="3"/>
        <v>Has Spaces</v>
      </c>
      <c r="L112" s="1" t="b">
        <v>1</v>
      </c>
      <c r="M112" s="1" t="str">
        <f t="shared" si="4"/>
        <v>Valid</v>
      </c>
      <c r="N112">
        <v>6</v>
      </c>
      <c r="O112" s="1" t="str">
        <f t="shared" si="5"/>
        <v>Valid</v>
      </c>
      <c r="P112" t="s">
        <v>15</v>
      </c>
      <c r="Q112" s="1" t="str">
        <v>Business</v>
      </c>
      <c r="R112">
        <v>1</v>
      </c>
      <c r="S112" s="2" t="s">
        <v>34</v>
      </c>
    </row>
    <row r="113" spans="1:19" x14ac:dyDescent="0.35">
      <c r="A113">
        <v>23</v>
      </c>
      <c r="B113" s="2" t="s">
        <v>38</v>
      </c>
      <c r="C113" t="s">
        <v>20</v>
      </c>
      <c r="D113" s="1" t="str">
        <v>Female</v>
      </c>
      <c r="E113">
        <v>2</v>
      </c>
      <c r="F113" t="s">
        <v>23</v>
      </c>
      <c r="G113" t="s">
        <v>24</v>
      </c>
      <c r="H113" t="s">
        <v>26</v>
      </c>
      <c r="I113">
        <v>392</v>
      </c>
      <c r="J113" s="2" t="s">
        <v>41</v>
      </c>
      <c r="K113" s="1" t="str">
        <f t="shared" si="3"/>
        <v>Has Spaces</v>
      </c>
      <c r="L113" s="1" t="b">
        <v>1</v>
      </c>
      <c r="M113" s="1" t="str">
        <f t="shared" si="4"/>
        <v>Valid</v>
      </c>
      <c r="N113">
        <v>15</v>
      </c>
      <c r="O113" s="1" t="str">
        <f t="shared" si="5"/>
        <v>Valid</v>
      </c>
      <c r="P113" t="s">
        <v>12</v>
      </c>
      <c r="Q113" s="1" t="str">
        <v>Education</v>
      </c>
      <c r="R113">
        <v>1</v>
      </c>
      <c r="S113" s="2" t="s">
        <v>34</v>
      </c>
    </row>
    <row r="114" spans="1:19" x14ac:dyDescent="0.35">
      <c r="A114">
        <v>28</v>
      </c>
      <c r="B114" s="2" t="s">
        <v>38</v>
      </c>
      <c r="C114" t="s">
        <v>19</v>
      </c>
      <c r="D114" s="1" t="str">
        <v>Male</v>
      </c>
      <c r="E114">
        <v>1</v>
      </c>
      <c r="F114" t="s">
        <v>23</v>
      </c>
      <c r="G114" t="s">
        <v>24</v>
      </c>
      <c r="H114" t="s">
        <v>27</v>
      </c>
      <c r="I114">
        <v>6260</v>
      </c>
      <c r="J114" s="2" t="s">
        <v>42</v>
      </c>
      <c r="K114" s="1" t="str">
        <f t="shared" si="3"/>
        <v>Clean</v>
      </c>
      <c r="L114" s="1" t="b">
        <v>1</v>
      </c>
      <c r="M114" s="1" t="str">
        <f t="shared" si="4"/>
        <v>Valid</v>
      </c>
      <c r="N114">
        <v>18</v>
      </c>
      <c r="O114" s="1" t="str">
        <f t="shared" si="5"/>
        <v>Valid</v>
      </c>
      <c r="P114" t="s">
        <v>14</v>
      </c>
      <c r="Q114" s="1" t="str">
        <v>Car</v>
      </c>
      <c r="R114">
        <v>1</v>
      </c>
      <c r="S114" s="2" t="s">
        <v>34</v>
      </c>
    </row>
    <row r="115" spans="1:19" x14ac:dyDescent="0.35">
      <c r="A115">
        <v>25</v>
      </c>
      <c r="B115" s="2" t="s">
        <v>38</v>
      </c>
      <c r="C115" t="s">
        <v>20</v>
      </c>
      <c r="D115" s="1" t="str">
        <v>Female</v>
      </c>
      <c r="E115">
        <v>2</v>
      </c>
      <c r="F115" t="s">
        <v>21</v>
      </c>
      <c r="G115" t="s">
        <v>24</v>
      </c>
      <c r="H115" t="s">
        <v>10</v>
      </c>
      <c r="I115">
        <v>7855</v>
      </c>
      <c r="J115" s="2" t="s">
        <v>42</v>
      </c>
      <c r="K115" s="1" t="str">
        <f t="shared" si="3"/>
        <v>Clean</v>
      </c>
      <c r="L115" s="1" t="b">
        <v>1</v>
      </c>
      <c r="M115" s="1" t="str">
        <f t="shared" si="4"/>
        <v>Valid</v>
      </c>
      <c r="N115">
        <v>36</v>
      </c>
      <c r="O115" s="1" t="str">
        <f t="shared" si="5"/>
        <v>Valid</v>
      </c>
      <c r="P115" t="s">
        <v>14</v>
      </c>
      <c r="Q115" s="1" t="str">
        <v>Car</v>
      </c>
      <c r="R115">
        <v>2</v>
      </c>
      <c r="S115" s="2" t="s">
        <v>35</v>
      </c>
    </row>
    <row r="116" spans="1:19" x14ac:dyDescent="0.35">
      <c r="A116">
        <v>35</v>
      </c>
      <c r="B116" s="2" t="s">
        <v>39</v>
      </c>
      <c r="C116" t="s">
        <v>19</v>
      </c>
      <c r="D116" s="1" t="str">
        <v>Male</v>
      </c>
      <c r="E116">
        <v>2</v>
      </c>
      <c r="F116" t="s">
        <v>21</v>
      </c>
      <c r="G116" t="s">
        <v>25</v>
      </c>
      <c r="H116" t="s">
        <v>24</v>
      </c>
      <c r="I116">
        <v>1680</v>
      </c>
      <c r="J116" s="2" t="s">
        <v>41</v>
      </c>
      <c r="K116" s="1" t="str">
        <f t="shared" si="3"/>
        <v>Has Spaces</v>
      </c>
      <c r="L116" s="1" t="b">
        <v>1</v>
      </c>
      <c r="M116" s="1" t="str">
        <f t="shared" si="4"/>
        <v>Valid</v>
      </c>
      <c r="N116">
        <v>12</v>
      </c>
      <c r="O116" s="1" t="str">
        <f t="shared" si="5"/>
        <v>Valid</v>
      </c>
      <c r="P116" t="s">
        <v>11</v>
      </c>
      <c r="Q116" s="1" t="str">
        <v>Radio/Tv</v>
      </c>
      <c r="R116">
        <v>1</v>
      </c>
      <c r="S116" s="2" t="s">
        <v>34</v>
      </c>
    </row>
    <row r="117" spans="1:19" x14ac:dyDescent="0.35">
      <c r="A117">
        <v>47</v>
      </c>
      <c r="B117" s="2" t="s">
        <v>39</v>
      </c>
      <c r="C117" t="s">
        <v>19</v>
      </c>
      <c r="D117" s="1" t="str">
        <v>Male</v>
      </c>
      <c r="E117">
        <v>2</v>
      </c>
      <c r="F117" t="s">
        <v>21</v>
      </c>
      <c r="G117" t="s">
        <v>10</v>
      </c>
      <c r="H117" t="s">
        <v>10</v>
      </c>
      <c r="I117">
        <v>3578</v>
      </c>
      <c r="J117" s="2" t="s">
        <v>43</v>
      </c>
      <c r="K117" s="1" t="str">
        <f t="shared" si="3"/>
        <v>Clean</v>
      </c>
      <c r="L117" s="1" t="b">
        <v>1</v>
      </c>
      <c r="M117" s="1" t="str">
        <f t="shared" si="4"/>
        <v>Valid</v>
      </c>
      <c r="N117">
        <v>48</v>
      </c>
      <c r="O117" s="1" t="str">
        <f t="shared" si="5"/>
        <v>Valid</v>
      </c>
      <c r="P117" t="s">
        <v>11</v>
      </c>
      <c r="Q117" s="1" t="str">
        <v>Radio/Tv</v>
      </c>
      <c r="R117">
        <v>1</v>
      </c>
      <c r="S117" s="2" t="s">
        <v>34</v>
      </c>
    </row>
    <row r="118" spans="1:19" x14ac:dyDescent="0.35">
      <c r="A118">
        <v>30</v>
      </c>
      <c r="B118" s="2" t="s">
        <v>39</v>
      </c>
      <c r="C118" t="s">
        <v>20</v>
      </c>
      <c r="D118" s="1" t="str">
        <v>Female</v>
      </c>
      <c r="E118">
        <v>3</v>
      </c>
      <c r="F118" t="s">
        <v>21</v>
      </c>
      <c r="G118" t="s">
        <v>10</v>
      </c>
      <c r="H118" t="s">
        <v>24</v>
      </c>
      <c r="I118">
        <v>7174</v>
      </c>
      <c r="J118" s="2" t="s">
        <v>42</v>
      </c>
      <c r="K118" s="1" t="str">
        <f t="shared" si="3"/>
        <v>Clean</v>
      </c>
      <c r="L118" s="1" t="b">
        <v>1</v>
      </c>
      <c r="M118" s="1" t="str">
        <f t="shared" si="4"/>
        <v>Valid</v>
      </c>
      <c r="N118">
        <v>42</v>
      </c>
      <c r="O118" s="1" t="str">
        <f t="shared" si="5"/>
        <v>Valid</v>
      </c>
      <c r="P118" t="s">
        <v>11</v>
      </c>
      <c r="Q118" s="1" t="str">
        <v>Radio/Tv</v>
      </c>
      <c r="R118">
        <v>2</v>
      </c>
      <c r="S118" s="2" t="s">
        <v>35</v>
      </c>
    </row>
    <row r="119" spans="1:19" x14ac:dyDescent="0.35">
      <c r="A119">
        <v>27</v>
      </c>
      <c r="B119" s="2" t="s">
        <v>38</v>
      </c>
      <c r="C119" t="s">
        <v>20</v>
      </c>
      <c r="D119" s="1" t="str">
        <v>Female</v>
      </c>
      <c r="E119">
        <v>2</v>
      </c>
      <c r="F119" t="s">
        <v>23</v>
      </c>
      <c r="G119" t="s">
        <v>10</v>
      </c>
      <c r="H119" t="s">
        <v>24</v>
      </c>
      <c r="I119">
        <v>2132</v>
      </c>
      <c r="J119" s="2" t="s">
        <v>43</v>
      </c>
      <c r="K119" s="1" t="str">
        <f t="shared" si="3"/>
        <v>Clean</v>
      </c>
      <c r="L119" s="1" t="b">
        <v>1</v>
      </c>
      <c r="M119" s="1" t="str">
        <f t="shared" si="4"/>
        <v>Valid</v>
      </c>
      <c r="N119">
        <v>10</v>
      </c>
      <c r="O119" s="1" t="str">
        <f t="shared" si="5"/>
        <v>Valid</v>
      </c>
      <c r="P119" t="s">
        <v>13</v>
      </c>
      <c r="Q119" s="1" t="str">
        <v>Furniture/Equipment</v>
      </c>
      <c r="R119">
        <v>1</v>
      </c>
      <c r="S119" s="2" t="s">
        <v>34</v>
      </c>
    </row>
    <row r="120" spans="1:19" x14ac:dyDescent="0.35">
      <c r="A120">
        <v>23</v>
      </c>
      <c r="B120" s="2" t="s">
        <v>38</v>
      </c>
      <c r="C120" t="s">
        <v>20</v>
      </c>
      <c r="D120" s="1" t="str">
        <v>Female</v>
      </c>
      <c r="E120">
        <v>2</v>
      </c>
      <c r="F120" t="s">
        <v>21</v>
      </c>
      <c r="G120" t="s">
        <v>25</v>
      </c>
      <c r="H120" t="s">
        <v>24</v>
      </c>
      <c r="I120">
        <v>4281</v>
      </c>
      <c r="J120" s="2" t="s">
        <v>43</v>
      </c>
      <c r="K120" s="1" t="str">
        <f t="shared" si="3"/>
        <v>Clean</v>
      </c>
      <c r="L120" s="1" t="b">
        <v>1</v>
      </c>
      <c r="M120" s="1" t="str">
        <f t="shared" si="4"/>
        <v>Valid</v>
      </c>
      <c r="N120">
        <v>33</v>
      </c>
      <c r="O120" s="1" t="str">
        <f t="shared" si="5"/>
        <v>Valid</v>
      </c>
      <c r="P120" t="s">
        <v>13</v>
      </c>
      <c r="Q120" s="1" t="str">
        <v>Furniture/Equipment</v>
      </c>
      <c r="R120">
        <v>2</v>
      </c>
      <c r="S120" s="2" t="s">
        <v>35</v>
      </c>
    </row>
    <row r="121" spans="1:19" x14ac:dyDescent="0.35">
      <c r="A121">
        <v>36</v>
      </c>
      <c r="B121" s="2" t="s">
        <v>39</v>
      </c>
      <c r="C121" t="s">
        <v>19</v>
      </c>
      <c r="D121" s="1" t="str">
        <v>Male</v>
      </c>
      <c r="E121">
        <v>3</v>
      </c>
      <c r="F121" t="s">
        <v>21</v>
      </c>
      <c r="G121" t="s">
        <v>25</v>
      </c>
      <c r="H121" t="s">
        <v>27</v>
      </c>
      <c r="I121">
        <v>2366</v>
      </c>
      <c r="J121" s="2" t="s">
        <v>43</v>
      </c>
      <c r="K121" s="1" t="str">
        <f t="shared" si="3"/>
        <v>Clean</v>
      </c>
      <c r="L121" s="1" t="b">
        <v>1</v>
      </c>
      <c r="M121" s="1" t="str">
        <f t="shared" si="4"/>
        <v>Valid</v>
      </c>
      <c r="N121">
        <v>12</v>
      </c>
      <c r="O121" s="1" t="str">
        <f t="shared" si="5"/>
        <v>Valid</v>
      </c>
      <c r="P121" t="s">
        <v>14</v>
      </c>
      <c r="Q121" s="1" t="str">
        <v>Car</v>
      </c>
      <c r="R121">
        <v>1</v>
      </c>
      <c r="S121" s="2" t="s">
        <v>34</v>
      </c>
    </row>
    <row r="122" spans="1:19" x14ac:dyDescent="0.35">
      <c r="A122">
        <v>25</v>
      </c>
      <c r="B122" s="2" t="s">
        <v>38</v>
      </c>
      <c r="C122" t="s">
        <v>20</v>
      </c>
      <c r="D122" s="1" t="str">
        <v>Female</v>
      </c>
      <c r="E122">
        <v>2</v>
      </c>
      <c r="F122" t="s">
        <v>21</v>
      </c>
      <c r="G122" t="s">
        <v>24</v>
      </c>
      <c r="H122" t="s">
        <v>24</v>
      </c>
      <c r="I122">
        <v>1835</v>
      </c>
      <c r="J122" s="2" t="s">
        <v>41</v>
      </c>
      <c r="K122" s="1" t="str">
        <f t="shared" si="3"/>
        <v>Has Spaces</v>
      </c>
      <c r="L122" s="1" t="b">
        <v>1</v>
      </c>
      <c r="M122" s="1" t="str">
        <f t="shared" si="4"/>
        <v>Valid</v>
      </c>
      <c r="N122">
        <v>21</v>
      </c>
      <c r="O122" s="1" t="str">
        <f t="shared" si="5"/>
        <v>Valid</v>
      </c>
      <c r="P122" t="s">
        <v>11</v>
      </c>
      <c r="Q122" s="1" t="str">
        <v>Radio/Tv</v>
      </c>
      <c r="R122">
        <v>2</v>
      </c>
      <c r="S122" s="2" t="s">
        <v>35</v>
      </c>
    </row>
    <row r="123" spans="1:19" x14ac:dyDescent="0.35">
      <c r="A123">
        <v>41</v>
      </c>
      <c r="B123" s="2" t="s">
        <v>39</v>
      </c>
      <c r="C123" t="s">
        <v>20</v>
      </c>
      <c r="D123" s="1" t="str">
        <v>Female</v>
      </c>
      <c r="E123">
        <v>3</v>
      </c>
      <c r="F123" t="s">
        <v>23</v>
      </c>
      <c r="G123" t="s">
        <v>24</v>
      </c>
      <c r="H123" t="s">
        <v>10</v>
      </c>
      <c r="I123">
        <v>3868</v>
      </c>
      <c r="J123" s="2" t="s">
        <v>43</v>
      </c>
      <c r="K123" s="1" t="str">
        <f t="shared" si="3"/>
        <v>Clean</v>
      </c>
      <c r="L123" s="1" t="b">
        <v>1</v>
      </c>
      <c r="M123" s="1" t="str">
        <f t="shared" si="4"/>
        <v>Valid</v>
      </c>
      <c r="N123">
        <v>24</v>
      </c>
      <c r="O123" s="1" t="str">
        <f t="shared" si="5"/>
        <v>Valid</v>
      </c>
      <c r="P123" t="s">
        <v>14</v>
      </c>
      <c r="Q123" s="1" t="str">
        <v>Car</v>
      </c>
      <c r="R123">
        <v>1</v>
      </c>
      <c r="S123" s="2" t="s">
        <v>34</v>
      </c>
    </row>
    <row r="124" spans="1:19" x14ac:dyDescent="0.35">
      <c r="A124">
        <v>24</v>
      </c>
      <c r="B124" s="2" t="s">
        <v>38</v>
      </c>
      <c r="C124" t="s">
        <v>19</v>
      </c>
      <c r="D124" s="1" t="str">
        <v>Male</v>
      </c>
      <c r="E124">
        <v>1</v>
      </c>
      <c r="F124" t="s">
        <v>23</v>
      </c>
      <c r="G124" t="s">
        <v>24</v>
      </c>
      <c r="H124" t="s">
        <v>10</v>
      </c>
      <c r="I124">
        <v>1768</v>
      </c>
      <c r="J124" s="2" t="s">
        <v>41</v>
      </c>
      <c r="K124" s="1" t="str">
        <f t="shared" si="3"/>
        <v>Has Spaces</v>
      </c>
      <c r="L124" s="1" t="b">
        <v>1</v>
      </c>
      <c r="M124" s="1" t="str">
        <f t="shared" si="4"/>
        <v>Valid</v>
      </c>
      <c r="N124">
        <v>12</v>
      </c>
      <c r="O124" s="1" t="str">
        <f t="shared" si="5"/>
        <v>Valid</v>
      </c>
      <c r="P124" t="s">
        <v>13</v>
      </c>
      <c r="Q124" s="1" t="str">
        <v>Furniture/Equipment</v>
      </c>
      <c r="R124">
        <v>1</v>
      </c>
      <c r="S124" s="2" t="s">
        <v>34</v>
      </c>
    </row>
    <row r="125" spans="1:19" x14ac:dyDescent="0.35">
      <c r="A125">
        <v>63</v>
      </c>
      <c r="B125" s="2" t="s">
        <v>37</v>
      </c>
      <c r="C125" t="s">
        <v>19</v>
      </c>
      <c r="D125" s="1" t="str">
        <v>Male</v>
      </c>
      <c r="E125">
        <v>2</v>
      </c>
      <c r="F125" t="s">
        <v>22</v>
      </c>
      <c r="G125" t="s">
        <v>24</v>
      </c>
      <c r="H125" t="s">
        <v>26</v>
      </c>
      <c r="I125">
        <v>781</v>
      </c>
      <c r="J125" s="2" t="s">
        <v>41</v>
      </c>
      <c r="K125" s="1" t="str">
        <f t="shared" si="3"/>
        <v>Has Spaces</v>
      </c>
      <c r="L125" s="1" t="b">
        <v>1</v>
      </c>
      <c r="M125" s="1" t="str">
        <f t="shared" si="4"/>
        <v>Valid</v>
      </c>
      <c r="N125">
        <v>10</v>
      </c>
      <c r="O125" s="1" t="str">
        <f t="shared" si="5"/>
        <v>Valid</v>
      </c>
      <c r="P125" t="s">
        <v>14</v>
      </c>
      <c r="Q125" s="1" t="str">
        <v>Car</v>
      </c>
      <c r="R125">
        <v>1</v>
      </c>
      <c r="S125" s="2" t="s">
        <v>34</v>
      </c>
    </row>
    <row r="126" spans="1:19" x14ac:dyDescent="0.35">
      <c r="A126">
        <v>27</v>
      </c>
      <c r="B126" s="2" t="s">
        <v>38</v>
      </c>
      <c r="C126" t="s">
        <v>20</v>
      </c>
      <c r="D126" s="1" t="str">
        <v>Female</v>
      </c>
      <c r="E126">
        <v>2</v>
      </c>
      <c r="F126" t="s">
        <v>23</v>
      </c>
      <c r="G126" t="s">
        <v>10</v>
      </c>
      <c r="H126" t="s">
        <v>27</v>
      </c>
      <c r="I126">
        <v>1924</v>
      </c>
      <c r="J126" s="2" t="s">
        <v>41</v>
      </c>
      <c r="K126" s="1" t="str">
        <f t="shared" si="3"/>
        <v>Has Spaces</v>
      </c>
      <c r="L126" s="1" t="b">
        <v>1</v>
      </c>
      <c r="M126" s="1" t="str">
        <f t="shared" si="4"/>
        <v>Valid</v>
      </c>
      <c r="N126">
        <v>18</v>
      </c>
      <c r="O126" s="1" t="str">
        <f t="shared" si="5"/>
        <v>Valid</v>
      </c>
      <c r="P126" t="s">
        <v>13</v>
      </c>
      <c r="Q126" s="1" t="str">
        <v>Furniture/Equipment</v>
      </c>
      <c r="R126">
        <v>2</v>
      </c>
      <c r="S126" s="2" t="s">
        <v>35</v>
      </c>
    </row>
    <row r="127" spans="1:19" x14ac:dyDescent="0.35">
      <c r="A127">
        <v>30</v>
      </c>
      <c r="B127" s="2" t="s">
        <v>39</v>
      </c>
      <c r="C127" t="s">
        <v>19</v>
      </c>
      <c r="D127" s="1" t="str">
        <v>Male</v>
      </c>
      <c r="E127">
        <v>2</v>
      </c>
      <c r="F127" t="s">
        <v>21</v>
      </c>
      <c r="G127" t="s">
        <v>24</v>
      </c>
      <c r="H127" t="s">
        <v>24</v>
      </c>
      <c r="I127">
        <v>2121</v>
      </c>
      <c r="J127" s="2" t="s">
        <v>43</v>
      </c>
      <c r="K127" s="1" t="str">
        <f t="shared" si="3"/>
        <v>Clean</v>
      </c>
      <c r="L127" s="1" t="b">
        <v>1</v>
      </c>
      <c r="M127" s="1" t="str">
        <f t="shared" si="4"/>
        <v>Valid</v>
      </c>
      <c r="N127">
        <v>12</v>
      </c>
      <c r="O127" s="1" t="str">
        <f t="shared" si="5"/>
        <v>Valid</v>
      </c>
      <c r="P127" t="s">
        <v>14</v>
      </c>
      <c r="Q127" s="1" t="str">
        <v>Car</v>
      </c>
      <c r="R127">
        <v>1</v>
      </c>
      <c r="S127" s="2" t="s">
        <v>34</v>
      </c>
    </row>
    <row r="128" spans="1:19" x14ac:dyDescent="0.35">
      <c r="A128">
        <v>40</v>
      </c>
      <c r="B128" s="2" t="s">
        <v>39</v>
      </c>
      <c r="C128" t="s">
        <v>19</v>
      </c>
      <c r="D128" s="1" t="str">
        <v>Male</v>
      </c>
      <c r="E128">
        <v>1</v>
      </c>
      <c r="F128" t="s">
        <v>21</v>
      </c>
      <c r="G128" t="s">
        <v>24</v>
      </c>
      <c r="H128" t="s">
        <v>24</v>
      </c>
      <c r="I128">
        <v>701</v>
      </c>
      <c r="J128" s="2" t="s">
        <v>41</v>
      </c>
      <c r="K128" s="1" t="str">
        <f t="shared" si="3"/>
        <v>Has Spaces</v>
      </c>
      <c r="L128" s="1" t="b">
        <v>1</v>
      </c>
      <c r="M128" s="1" t="str">
        <f t="shared" si="4"/>
        <v>Valid</v>
      </c>
      <c r="N128">
        <v>12</v>
      </c>
      <c r="O128" s="1" t="str">
        <f t="shared" si="5"/>
        <v>Valid</v>
      </c>
      <c r="P128" t="s">
        <v>11</v>
      </c>
      <c r="Q128" s="1" t="str">
        <v>Radio/Tv</v>
      </c>
      <c r="R128">
        <v>1</v>
      </c>
      <c r="S128" s="2" t="s">
        <v>34</v>
      </c>
    </row>
    <row r="129" spans="1:19" x14ac:dyDescent="0.35">
      <c r="A129">
        <v>30</v>
      </c>
      <c r="B129" s="2" t="s">
        <v>39</v>
      </c>
      <c r="C129" t="s">
        <v>19</v>
      </c>
      <c r="D129" s="1" t="str">
        <v>Male</v>
      </c>
      <c r="E129">
        <v>2</v>
      </c>
      <c r="F129" t="s">
        <v>21</v>
      </c>
      <c r="G129" t="s">
        <v>24</v>
      </c>
      <c r="H129" t="s">
        <v>27</v>
      </c>
      <c r="I129">
        <v>639</v>
      </c>
      <c r="J129" s="2" t="s">
        <v>41</v>
      </c>
      <c r="K129" s="1" t="str">
        <f t="shared" si="3"/>
        <v>Has Spaces</v>
      </c>
      <c r="L129" s="1" t="b">
        <v>1</v>
      </c>
      <c r="M129" s="1" t="str">
        <f t="shared" si="4"/>
        <v>Valid</v>
      </c>
      <c r="N129">
        <v>12</v>
      </c>
      <c r="O129" s="1" t="str">
        <f t="shared" si="5"/>
        <v>Valid</v>
      </c>
      <c r="P129" t="s">
        <v>17</v>
      </c>
      <c r="Q129" s="1" t="str">
        <v>Repairs</v>
      </c>
      <c r="R129">
        <v>2</v>
      </c>
      <c r="S129" s="2" t="s">
        <v>35</v>
      </c>
    </row>
    <row r="130" spans="1:19" x14ac:dyDescent="0.35">
      <c r="A130">
        <v>34</v>
      </c>
      <c r="B130" s="2" t="s">
        <v>39</v>
      </c>
      <c r="C130" t="s">
        <v>19</v>
      </c>
      <c r="D130" s="1" t="str">
        <v>Male</v>
      </c>
      <c r="E130">
        <v>3</v>
      </c>
      <c r="F130" t="s">
        <v>21</v>
      </c>
      <c r="G130" t="s">
        <v>24</v>
      </c>
      <c r="H130" t="s">
        <v>27</v>
      </c>
      <c r="I130">
        <v>1860</v>
      </c>
      <c r="J130" s="2" t="s">
        <v>41</v>
      </c>
      <c r="K130" s="1" t="str">
        <f t="shared" si="3"/>
        <v>Has Spaces</v>
      </c>
      <c r="L130" s="1" t="b">
        <v>1</v>
      </c>
      <c r="M130" s="1" t="str">
        <f t="shared" si="4"/>
        <v>Valid</v>
      </c>
      <c r="N130">
        <v>12</v>
      </c>
      <c r="O130" s="1" t="str">
        <f t="shared" si="5"/>
        <v>Valid</v>
      </c>
      <c r="P130" t="s">
        <v>14</v>
      </c>
      <c r="Q130" s="1" t="str">
        <v>Car</v>
      </c>
      <c r="R130">
        <v>1</v>
      </c>
      <c r="S130" s="2" t="s">
        <v>34</v>
      </c>
    </row>
    <row r="131" spans="1:19" x14ac:dyDescent="0.35">
      <c r="A131">
        <v>29</v>
      </c>
      <c r="B131" s="2" t="s">
        <v>38</v>
      </c>
      <c r="C131" t="s">
        <v>20</v>
      </c>
      <c r="D131" s="1" t="str">
        <v>Female</v>
      </c>
      <c r="E131">
        <v>2</v>
      </c>
      <c r="F131" t="s">
        <v>21</v>
      </c>
      <c r="G131" t="s">
        <v>24</v>
      </c>
      <c r="H131" t="s">
        <v>24</v>
      </c>
      <c r="I131">
        <v>3499</v>
      </c>
      <c r="J131" s="2" t="s">
        <v>43</v>
      </c>
      <c r="K131" s="1" t="str">
        <f t="shared" ref="K131:K194" si="6">IF(J131=TRIM(J131),"Clean","Has Spaces")</f>
        <v>Clean</v>
      </c>
      <c r="L131" s="1" t="b">
        <v>1</v>
      </c>
      <c r="M131" s="1" t="str">
        <f t="shared" ref="M131:M194" si="7">IF(I131&gt;0,"Valid", "Invalid")</f>
        <v>Valid</v>
      </c>
      <c r="N131">
        <v>12</v>
      </c>
      <c r="O131" s="1" t="str">
        <f t="shared" ref="O131:O194" si="8">IF(N131&lt;=0,"invalid", "Valid")</f>
        <v>Valid</v>
      </c>
      <c r="P131" t="s">
        <v>14</v>
      </c>
      <c r="Q131" s="1" t="str">
        <v>Car</v>
      </c>
      <c r="R131">
        <v>2</v>
      </c>
      <c r="S131" s="2" t="s">
        <v>35</v>
      </c>
    </row>
    <row r="132" spans="1:19" x14ac:dyDescent="0.35">
      <c r="A132">
        <v>24</v>
      </c>
      <c r="B132" s="2" t="s">
        <v>38</v>
      </c>
      <c r="C132" t="s">
        <v>20</v>
      </c>
      <c r="D132" s="1" t="str">
        <v>Female</v>
      </c>
      <c r="E132">
        <v>2</v>
      </c>
      <c r="F132" t="s">
        <v>21</v>
      </c>
      <c r="G132" t="s">
        <v>10</v>
      </c>
      <c r="H132" t="s">
        <v>27</v>
      </c>
      <c r="I132">
        <v>8487</v>
      </c>
      <c r="J132" s="2" t="s">
        <v>42</v>
      </c>
      <c r="K132" s="1" t="str">
        <f t="shared" si="6"/>
        <v>Clean</v>
      </c>
      <c r="L132" s="1" t="b">
        <v>1</v>
      </c>
      <c r="M132" s="1" t="str">
        <f t="shared" si="7"/>
        <v>Valid</v>
      </c>
      <c r="N132">
        <v>48</v>
      </c>
      <c r="O132" s="1" t="str">
        <f t="shared" si="8"/>
        <v>Valid</v>
      </c>
      <c r="P132" t="s">
        <v>14</v>
      </c>
      <c r="Q132" s="1" t="str">
        <v>Car</v>
      </c>
      <c r="R132">
        <v>1</v>
      </c>
      <c r="S132" s="2" t="s">
        <v>34</v>
      </c>
    </row>
    <row r="133" spans="1:19" x14ac:dyDescent="0.35">
      <c r="A133">
        <v>29</v>
      </c>
      <c r="B133" s="2" t="s">
        <v>38</v>
      </c>
      <c r="C133" t="s">
        <v>19</v>
      </c>
      <c r="D133" s="1" t="str">
        <v>Male</v>
      </c>
      <c r="E133">
        <v>2</v>
      </c>
      <c r="F133" t="s">
        <v>21</v>
      </c>
      <c r="G133" t="s">
        <v>24</v>
      </c>
      <c r="H133" t="s">
        <v>24</v>
      </c>
      <c r="I133">
        <v>6887</v>
      </c>
      <c r="J133" s="2" t="s">
        <v>42</v>
      </c>
      <c r="K133" s="1" t="str">
        <f t="shared" si="6"/>
        <v>Clean</v>
      </c>
      <c r="L133" s="1" t="b">
        <v>1</v>
      </c>
      <c r="M133" s="1" t="str">
        <f t="shared" si="7"/>
        <v>Valid</v>
      </c>
      <c r="N133">
        <v>36</v>
      </c>
      <c r="O133" s="1" t="str">
        <f t="shared" si="8"/>
        <v>Valid</v>
      </c>
      <c r="P133" t="s">
        <v>12</v>
      </c>
      <c r="Q133" s="1" t="str">
        <v>Education</v>
      </c>
      <c r="R133">
        <v>2</v>
      </c>
      <c r="S133" s="2" t="s">
        <v>35</v>
      </c>
    </row>
    <row r="134" spans="1:19" x14ac:dyDescent="0.35">
      <c r="A134">
        <v>27</v>
      </c>
      <c r="B134" s="2" t="s">
        <v>38</v>
      </c>
      <c r="C134" t="s">
        <v>19</v>
      </c>
      <c r="D134" s="1" t="str">
        <v>Male</v>
      </c>
      <c r="E134">
        <v>1</v>
      </c>
      <c r="F134" t="s">
        <v>21</v>
      </c>
      <c r="G134" t="s">
        <v>24</v>
      </c>
      <c r="H134" t="s">
        <v>10</v>
      </c>
      <c r="I134">
        <v>2708</v>
      </c>
      <c r="J134" s="2" t="s">
        <v>43</v>
      </c>
      <c r="K134" s="1" t="str">
        <f t="shared" si="6"/>
        <v>Clean</v>
      </c>
      <c r="L134" s="1" t="b">
        <v>1</v>
      </c>
      <c r="M134" s="1" t="str">
        <f t="shared" si="7"/>
        <v>Valid</v>
      </c>
      <c r="N134">
        <v>15</v>
      </c>
      <c r="O134" s="1" t="str">
        <f t="shared" si="8"/>
        <v>Valid</v>
      </c>
      <c r="P134" t="s">
        <v>13</v>
      </c>
      <c r="Q134" s="1" t="str">
        <v>Furniture/Equipment</v>
      </c>
      <c r="R134">
        <v>1</v>
      </c>
      <c r="S134" s="2" t="s">
        <v>34</v>
      </c>
    </row>
    <row r="135" spans="1:19" x14ac:dyDescent="0.35">
      <c r="A135">
        <v>47</v>
      </c>
      <c r="B135" s="2" t="s">
        <v>39</v>
      </c>
      <c r="C135" t="s">
        <v>19</v>
      </c>
      <c r="D135" s="1" t="str">
        <v>Male</v>
      </c>
      <c r="E135">
        <v>2</v>
      </c>
      <c r="F135" t="s">
        <v>22</v>
      </c>
      <c r="G135" t="s">
        <v>24</v>
      </c>
      <c r="H135" t="s">
        <v>10</v>
      </c>
      <c r="I135">
        <v>1984</v>
      </c>
      <c r="J135" s="2" t="s">
        <v>41</v>
      </c>
      <c r="K135" s="1" t="str">
        <f t="shared" si="6"/>
        <v>Has Spaces</v>
      </c>
      <c r="L135" s="1" t="b">
        <v>1</v>
      </c>
      <c r="M135" s="1" t="str">
        <f t="shared" si="7"/>
        <v>Valid</v>
      </c>
      <c r="N135">
        <v>18</v>
      </c>
      <c r="O135" s="1" t="str">
        <f t="shared" si="8"/>
        <v>Valid</v>
      </c>
      <c r="P135" t="s">
        <v>13</v>
      </c>
      <c r="Q135" s="1" t="str">
        <v>Furniture/Equipment</v>
      </c>
      <c r="R135">
        <v>1</v>
      </c>
      <c r="S135" s="2" t="s">
        <v>34</v>
      </c>
    </row>
    <row r="136" spans="1:19" x14ac:dyDescent="0.35">
      <c r="A136">
        <v>21</v>
      </c>
      <c r="B136" s="2" t="s">
        <v>38</v>
      </c>
      <c r="C136" t="s">
        <v>20</v>
      </c>
      <c r="D136" s="1" t="str">
        <v>Female</v>
      </c>
      <c r="E136">
        <v>2</v>
      </c>
      <c r="F136" t="s">
        <v>21</v>
      </c>
      <c r="G136" t="s">
        <v>27</v>
      </c>
      <c r="H136" t="s">
        <v>10</v>
      </c>
      <c r="I136">
        <v>10144</v>
      </c>
      <c r="J136" s="2" t="s">
        <v>42</v>
      </c>
      <c r="K136" s="1" t="str">
        <f t="shared" si="6"/>
        <v>Clean</v>
      </c>
      <c r="L136" s="1" t="b">
        <v>1</v>
      </c>
      <c r="M136" s="1" t="str">
        <f t="shared" si="7"/>
        <v>Valid</v>
      </c>
      <c r="N136">
        <v>60</v>
      </c>
      <c r="O136" s="1" t="str">
        <f t="shared" si="8"/>
        <v>Valid</v>
      </c>
      <c r="P136" t="s">
        <v>11</v>
      </c>
      <c r="Q136" s="1" t="str">
        <v>Radio/Tv</v>
      </c>
      <c r="R136">
        <v>1</v>
      </c>
      <c r="S136" s="2" t="s">
        <v>34</v>
      </c>
    </row>
    <row r="137" spans="1:19" x14ac:dyDescent="0.35">
      <c r="A137">
        <v>38</v>
      </c>
      <c r="B137" s="2" t="s">
        <v>39</v>
      </c>
      <c r="C137" t="s">
        <v>20</v>
      </c>
      <c r="D137" s="1" t="str">
        <v>Female</v>
      </c>
      <c r="E137">
        <v>2</v>
      </c>
      <c r="F137" t="s">
        <v>21</v>
      </c>
      <c r="G137" t="s">
        <v>10</v>
      </c>
      <c r="H137" t="s">
        <v>10</v>
      </c>
      <c r="I137">
        <v>1240</v>
      </c>
      <c r="J137" s="2" t="s">
        <v>41</v>
      </c>
      <c r="K137" s="1" t="str">
        <f t="shared" si="6"/>
        <v>Has Spaces</v>
      </c>
      <c r="L137" s="1" t="b">
        <v>1</v>
      </c>
      <c r="M137" s="1" t="str">
        <f t="shared" si="7"/>
        <v>Valid</v>
      </c>
      <c r="N137">
        <v>12</v>
      </c>
      <c r="O137" s="1" t="str">
        <f t="shared" si="8"/>
        <v>Valid</v>
      </c>
      <c r="P137" t="s">
        <v>11</v>
      </c>
      <c r="Q137" s="1" t="str">
        <v>Radio/Tv</v>
      </c>
      <c r="R137">
        <v>1</v>
      </c>
      <c r="S137" s="2" t="s">
        <v>34</v>
      </c>
    </row>
    <row r="138" spans="1:19" x14ac:dyDescent="0.35">
      <c r="A138">
        <v>27</v>
      </c>
      <c r="B138" s="2" t="s">
        <v>38</v>
      </c>
      <c r="C138" t="s">
        <v>19</v>
      </c>
      <c r="D138" s="1" t="str">
        <v>Male</v>
      </c>
      <c r="E138">
        <v>2</v>
      </c>
      <c r="F138" t="s">
        <v>21</v>
      </c>
      <c r="G138" t="s">
        <v>26</v>
      </c>
      <c r="H138" t="s">
        <v>10</v>
      </c>
      <c r="I138">
        <v>8613</v>
      </c>
      <c r="J138" s="2" t="s">
        <v>42</v>
      </c>
      <c r="K138" s="1" t="str">
        <f t="shared" si="6"/>
        <v>Clean</v>
      </c>
      <c r="L138" s="1" t="b">
        <v>1</v>
      </c>
      <c r="M138" s="1" t="str">
        <f t="shared" si="7"/>
        <v>Valid</v>
      </c>
      <c r="N138">
        <v>27</v>
      </c>
      <c r="O138" s="1" t="str">
        <f t="shared" si="8"/>
        <v>Valid</v>
      </c>
      <c r="P138" t="s">
        <v>14</v>
      </c>
      <c r="Q138" s="1" t="str">
        <v>Car</v>
      </c>
      <c r="R138">
        <v>1</v>
      </c>
      <c r="S138" s="2" t="s">
        <v>34</v>
      </c>
    </row>
    <row r="139" spans="1:19" x14ac:dyDescent="0.35">
      <c r="A139">
        <v>66</v>
      </c>
      <c r="B139" s="2" t="s">
        <v>37</v>
      </c>
      <c r="C139" t="s">
        <v>19</v>
      </c>
      <c r="D139" s="1" t="str">
        <v>Male</v>
      </c>
      <c r="E139">
        <v>1</v>
      </c>
      <c r="F139" t="s">
        <v>21</v>
      </c>
      <c r="G139" t="s">
        <v>25</v>
      </c>
      <c r="H139" t="s">
        <v>27</v>
      </c>
      <c r="I139">
        <v>766</v>
      </c>
      <c r="J139" s="2" t="s">
        <v>41</v>
      </c>
      <c r="K139" s="1" t="str">
        <f t="shared" si="6"/>
        <v>Has Spaces</v>
      </c>
      <c r="L139" s="1" t="b">
        <v>1</v>
      </c>
      <c r="M139" s="1" t="str">
        <f t="shared" si="7"/>
        <v>Valid</v>
      </c>
      <c r="N139">
        <v>12</v>
      </c>
      <c r="O139" s="1" t="str">
        <f t="shared" si="8"/>
        <v>Valid</v>
      </c>
      <c r="P139" t="s">
        <v>11</v>
      </c>
      <c r="Q139" s="1" t="str">
        <v>Radio/Tv</v>
      </c>
      <c r="R139">
        <v>2</v>
      </c>
      <c r="S139" s="2" t="s">
        <v>35</v>
      </c>
    </row>
    <row r="140" spans="1:19" x14ac:dyDescent="0.35">
      <c r="A140">
        <v>35</v>
      </c>
      <c r="B140" s="2" t="s">
        <v>39</v>
      </c>
      <c r="C140" t="s">
        <v>19</v>
      </c>
      <c r="D140" s="1" t="str">
        <v>Male</v>
      </c>
      <c r="E140">
        <v>2</v>
      </c>
      <c r="F140" t="s">
        <v>21</v>
      </c>
      <c r="G140" t="s">
        <v>10</v>
      </c>
      <c r="H140" t="s">
        <v>27</v>
      </c>
      <c r="I140">
        <v>2728</v>
      </c>
      <c r="J140" s="2" t="s">
        <v>43</v>
      </c>
      <c r="K140" s="1" t="str">
        <f t="shared" si="6"/>
        <v>Clean</v>
      </c>
      <c r="L140" s="1" t="b">
        <v>1</v>
      </c>
      <c r="M140" s="1" t="str">
        <f t="shared" si="7"/>
        <v>Valid</v>
      </c>
      <c r="N140">
        <v>15</v>
      </c>
      <c r="O140" s="1" t="str">
        <f t="shared" si="8"/>
        <v>Valid</v>
      </c>
      <c r="P140" t="s">
        <v>11</v>
      </c>
      <c r="Q140" s="1" t="str">
        <v>Radio/Tv</v>
      </c>
      <c r="R140">
        <v>1</v>
      </c>
      <c r="S140" s="2" t="s">
        <v>34</v>
      </c>
    </row>
    <row r="141" spans="1:19" x14ac:dyDescent="0.35">
      <c r="A141">
        <v>44</v>
      </c>
      <c r="B141" s="2" t="s">
        <v>39</v>
      </c>
      <c r="C141" t="s">
        <v>20</v>
      </c>
      <c r="D141" s="1" t="str">
        <v>Female</v>
      </c>
      <c r="E141">
        <v>1</v>
      </c>
      <c r="F141" t="s">
        <v>23</v>
      </c>
      <c r="G141" t="s">
        <v>24</v>
      </c>
      <c r="H141" t="s">
        <v>26</v>
      </c>
      <c r="I141">
        <v>1881</v>
      </c>
      <c r="J141" s="2" t="s">
        <v>41</v>
      </c>
      <c r="K141" s="1" t="str">
        <f t="shared" si="6"/>
        <v>Has Spaces</v>
      </c>
      <c r="L141" s="1" t="b">
        <v>1</v>
      </c>
      <c r="M141" s="1" t="str">
        <f t="shared" si="7"/>
        <v>Valid</v>
      </c>
      <c r="N141">
        <v>12</v>
      </c>
      <c r="O141" s="1" t="str">
        <f t="shared" si="8"/>
        <v>Valid</v>
      </c>
      <c r="P141" t="s">
        <v>11</v>
      </c>
      <c r="Q141" s="1" t="str">
        <v>Radio/Tv</v>
      </c>
      <c r="R141">
        <v>1</v>
      </c>
      <c r="S141" s="2" t="s">
        <v>34</v>
      </c>
    </row>
    <row r="142" spans="1:19" x14ac:dyDescent="0.35">
      <c r="A142">
        <v>27</v>
      </c>
      <c r="B142" s="2" t="s">
        <v>38</v>
      </c>
      <c r="C142" t="s">
        <v>19</v>
      </c>
      <c r="D142" s="1" t="str">
        <v>Male</v>
      </c>
      <c r="E142">
        <v>0</v>
      </c>
      <c r="F142" t="s">
        <v>21</v>
      </c>
      <c r="G142" t="s">
        <v>26</v>
      </c>
      <c r="H142" t="s">
        <v>26</v>
      </c>
      <c r="I142">
        <v>709</v>
      </c>
      <c r="J142" s="2" t="s">
        <v>41</v>
      </c>
      <c r="K142" s="1" t="str">
        <f t="shared" si="6"/>
        <v>Has Spaces</v>
      </c>
      <c r="L142" s="1" t="b">
        <v>1</v>
      </c>
      <c r="M142" s="1" t="str">
        <f t="shared" si="7"/>
        <v>Valid</v>
      </c>
      <c r="N142">
        <v>6</v>
      </c>
      <c r="O142" s="1" t="str">
        <f t="shared" si="8"/>
        <v>Valid</v>
      </c>
      <c r="P142" t="s">
        <v>14</v>
      </c>
      <c r="Q142" s="1" t="str">
        <v>Car</v>
      </c>
      <c r="R142">
        <v>1</v>
      </c>
      <c r="S142" s="2" t="s">
        <v>34</v>
      </c>
    </row>
    <row r="143" spans="1:19" x14ac:dyDescent="0.35">
      <c r="A143">
        <v>30</v>
      </c>
      <c r="B143" s="2" t="s">
        <v>39</v>
      </c>
      <c r="C143" t="s">
        <v>20</v>
      </c>
      <c r="D143" s="1" t="str">
        <v>Female</v>
      </c>
      <c r="E143">
        <v>3</v>
      </c>
      <c r="F143" t="s">
        <v>21</v>
      </c>
      <c r="G143" t="s">
        <v>24</v>
      </c>
      <c r="H143" t="s">
        <v>27</v>
      </c>
      <c r="I143">
        <v>4795</v>
      </c>
      <c r="J143" s="2" t="s">
        <v>43</v>
      </c>
      <c r="K143" s="1" t="str">
        <f t="shared" si="6"/>
        <v>Clean</v>
      </c>
      <c r="L143" s="1" t="b">
        <v>1</v>
      </c>
      <c r="M143" s="1" t="str">
        <f t="shared" si="7"/>
        <v>Valid</v>
      </c>
      <c r="N143">
        <v>36</v>
      </c>
      <c r="O143" s="1" t="str">
        <f t="shared" si="8"/>
        <v>Valid</v>
      </c>
      <c r="P143" t="s">
        <v>11</v>
      </c>
      <c r="Q143" s="1" t="str">
        <v>Radio/Tv</v>
      </c>
      <c r="R143">
        <v>1</v>
      </c>
      <c r="S143" s="2" t="s">
        <v>34</v>
      </c>
    </row>
    <row r="144" spans="1:19" x14ac:dyDescent="0.35">
      <c r="A144">
        <v>27</v>
      </c>
      <c r="B144" s="2" t="s">
        <v>38</v>
      </c>
      <c r="C144" t="s">
        <v>19</v>
      </c>
      <c r="D144" s="1" t="str">
        <v>Male</v>
      </c>
      <c r="E144">
        <v>3</v>
      </c>
      <c r="F144" t="s">
        <v>21</v>
      </c>
      <c r="G144" t="s">
        <v>24</v>
      </c>
      <c r="H144" t="s">
        <v>24</v>
      </c>
      <c r="I144">
        <v>3416</v>
      </c>
      <c r="J144" s="2" t="s">
        <v>43</v>
      </c>
      <c r="K144" s="1" t="str">
        <f t="shared" si="6"/>
        <v>Clean</v>
      </c>
      <c r="L144" s="1" t="b">
        <v>1</v>
      </c>
      <c r="M144" s="1" t="str">
        <f t="shared" si="7"/>
        <v>Valid</v>
      </c>
      <c r="N144">
        <v>27</v>
      </c>
      <c r="O144" s="1" t="str">
        <f t="shared" si="8"/>
        <v>Valid</v>
      </c>
      <c r="P144" t="s">
        <v>11</v>
      </c>
      <c r="Q144" s="1" t="str">
        <v>Radio/Tv</v>
      </c>
      <c r="R144">
        <v>1</v>
      </c>
      <c r="S144" s="2" t="s">
        <v>34</v>
      </c>
    </row>
    <row r="145" spans="1:19" x14ac:dyDescent="0.35">
      <c r="A145">
        <v>22</v>
      </c>
      <c r="B145" s="2" t="s">
        <v>38</v>
      </c>
      <c r="C145" t="s">
        <v>19</v>
      </c>
      <c r="D145" s="1" t="str">
        <v>Male</v>
      </c>
      <c r="E145">
        <v>2</v>
      </c>
      <c r="F145" t="s">
        <v>21</v>
      </c>
      <c r="G145" t="s">
        <v>24</v>
      </c>
      <c r="H145" t="s">
        <v>24</v>
      </c>
      <c r="I145">
        <v>2462</v>
      </c>
      <c r="J145" s="2" t="s">
        <v>43</v>
      </c>
      <c r="K145" s="1" t="str">
        <f t="shared" si="6"/>
        <v>Clean</v>
      </c>
      <c r="L145" s="1" t="b">
        <v>1</v>
      </c>
      <c r="M145" s="1" t="str">
        <f t="shared" si="7"/>
        <v>Valid</v>
      </c>
      <c r="N145">
        <v>18</v>
      </c>
      <c r="O145" s="1" t="str">
        <f t="shared" si="8"/>
        <v>Valid</v>
      </c>
      <c r="P145" t="s">
        <v>13</v>
      </c>
      <c r="Q145" s="1" t="str">
        <v>Furniture/Equipment</v>
      </c>
      <c r="R145">
        <v>2</v>
      </c>
      <c r="S145" s="2" t="s">
        <v>35</v>
      </c>
    </row>
    <row r="146" spans="1:19" x14ac:dyDescent="0.35">
      <c r="A146">
        <v>23</v>
      </c>
      <c r="B146" s="2" t="s">
        <v>38</v>
      </c>
      <c r="C146" t="s">
        <v>20</v>
      </c>
      <c r="D146" s="1" t="str">
        <v>Female</v>
      </c>
      <c r="E146">
        <v>2</v>
      </c>
      <c r="F146" t="s">
        <v>21</v>
      </c>
      <c r="G146" t="s">
        <v>24</v>
      </c>
      <c r="H146" t="s">
        <v>10</v>
      </c>
      <c r="I146">
        <v>2288</v>
      </c>
      <c r="J146" s="2" t="s">
        <v>43</v>
      </c>
      <c r="K146" s="1" t="str">
        <f t="shared" si="6"/>
        <v>Clean</v>
      </c>
      <c r="L146" s="1" t="b">
        <v>1</v>
      </c>
      <c r="M146" s="1" t="str">
        <f t="shared" si="7"/>
        <v>Valid</v>
      </c>
      <c r="N146">
        <v>21</v>
      </c>
      <c r="O146" s="1" t="str">
        <f t="shared" si="8"/>
        <v>Valid</v>
      </c>
      <c r="P146" t="s">
        <v>13</v>
      </c>
      <c r="Q146" s="1" t="str">
        <v>Furniture/Equipment</v>
      </c>
      <c r="R146">
        <v>1</v>
      </c>
      <c r="S146" s="2" t="s">
        <v>34</v>
      </c>
    </row>
    <row r="147" spans="1:19" x14ac:dyDescent="0.35">
      <c r="A147">
        <v>30</v>
      </c>
      <c r="B147" s="2" t="s">
        <v>39</v>
      </c>
      <c r="C147" t="s">
        <v>19</v>
      </c>
      <c r="D147" s="1" t="str">
        <v>Male</v>
      </c>
      <c r="E147">
        <v>2</v>
      </c>
      <c r="F147" t="s">
        <v>21</v>
      </c>
      <c r="G147" t="s">
        <v>27</v>
      </c>
      <c r="H147" t="s">
        <v>27</v>
      </c>
      <c r="I147">
        <v>3566</v>
      </c>
      <c r="J147" s="2" t="s">
        <v>43</v>
      </c>
      <c r="K147" s="1" t="str">
        <f t="shared" si="6"/>
        <v>Clean</v>
      </c>
      <c r="L147" s="1" t="b">
        <v>1</v>
      </c>
      <c r="M147" s="1" t="str">
        <f t="shared" si="7"/>
        <v>Valid</v>
      </c>
      <c r="N147">
        <v>48</v>
      </c>
      <c r="O147" s="1" t="str">
        <f t="shared" si="8"/>
        <v>Valid</v>
      </c>
      <c r="P147" t="s">
        <v>15</v>
      </c>
      <c r="Q147" s="1" t="str">
        <v>Business</v>
      </c>
      <c r="R147">
        <v>1</v>
      </c>
      <c r="S147" s="2" t="s">
        <v>34</v>
      </c>
    </row>
    <row r="148" spans="1:19" x14ac:dyDescent="0.35">
      <c r="A148">
        <v>39</v>
      </c>
      <c r="B148" s="2" t="s">
        <v>39</v>
      </c>
      <c r="C148" t="s">
        <v>20</v>
      </c>
      <c r="D148" s="1" t="str">
        <v>Female</v>
      </c>
      <c r="E148">
        <v>2</v>
      </c>
      <c r="F148" t="s">
        <v>21</v>
      </c>
      <c r="G148" t="s">
        <v>24</v>
      </c>
      <c r="H148" t="s">
        <v>24</v>
      </c>
      <c r="I148">
        <v>860</v>
      </c>
      <c r="J148" s="2" t="s">
        <v>41</v>
      </c>
      <c r="K148" s="1" t="str">
        <f t="shared" si="6"/>
        <v>Has Spaces</v>
      </c>
      <c r="L148" s="1" t="b">
        <v>1</v>
      </c>
      <c r="M148" s="1" t="str">
        <f t="shared" si="7"/>
        <v>Valid</v>
      </c>
      <c r="N148">
        <v>6</v>
      </c>
      <c r="O148" s="1" t="str">
        <f t="shared" si="8"/>
        <v>Valid</v>
      </c>
      <c r="P148" t="s">
        <v>14</v>
      </c>
      <c r="Q148" s="1" t="str">
        <v>Car</v>
      </c>
      <c r="R148">
        <v>1</v>
      </c>
      <c r="S148" s="2" t="s">
        <v>34</v>
      </c>
    </row>
    <row r="149" spans="1:19" x14ac:dyDescent="0.35">
      <c r="A149">
        <v>51</v>
      </c>
      <c r="B149" s="2" t="s">
        <v>37</v>
      </c>
      <c r="C149" t="s">
        <v>20</v>
      </c>
      <c r="D149" s="1" t="str">
        <v>Female</v>
      </c>
      <c r="E149">
        <v>2</v>
      </c>
      <c r="F149" t="s">
        <v>21</v>
      </c>
      <c r="G149" t="s">
        <v>27</v>
      </c>
      <c r="H149" t="s">
        <v>10</v>
      </c>
      <c r="I149">
        <v>682</v>
      </c>
      <c r="J149" s="2" t="s">
        <v>41</v>
      </c>
      <c r="K149" s="1" t="str">
        <f t="shared" si="6"/>
        <v>Has Spaces</v>
      </c>
      <c r="L149" s="1" t="b">
        <v>1</v>
      </c>
      <c r="M149" s="1" t="str">
        <f t="shared" si="7"/>
        <v>Valid</v>
      </c>
      <c r="N149">
        <v>12</v>
      </c>
      <c r="O149" s="1" t="str">
        <f t="shared" si="8"/>
        <v>Valid</v>
      </c>
      <c r="P149" t="s">
        <v>14</v>
      </c>
      <c r="Q149" s="1" t="str">
        <v>Car</v>
      </c>
      <c r="R149">
        <v>1</v>
      </c>
      <c r="S149" s="2" t="s">
        <v>34</v>
      </c>
    </row>
    <row r="150" spans="1:19" x14ac:dyDescent="0.35">
      <c r="A150">
        <v>28</v>
      </c>
      <c r="B150" s="2" t="s">
        <v>38</v>
      </c>
      <c r="C150" t="s">
        <v>19</v>
      </c>
      <c r="D150" s="1" t="str">
        <v>Male</v>
      </c>
      <c r="E150">
        <v>2</v>
      </c>
      <c r="F150" t="s">
        <v>21</v>
      </c>
      <c r="G150" t="s">
        <v>24</v>
      </c>
      <c r="H150" t="s">
        <v>24</v>
      </c>
      <c r="I150">
        <v>5371</v>
      </c>
      <c r="J150" s="2" t="s">
        <v>42</v>
      </c>
      <c r="K150" s="1" t="str">
        <f t="shared" si="6"/>
        <v>Clean</v>
      </c>
      <c r="L150" s="1" t="b">
        <v>1</v>
      </c>
      <c r="M150" s="1" t="str">
        <f t="shared" si="7"/>
        <v>Valid</v>
      </c>
      <c r="N150">
        <v>36</v>
      </c>
      <c r="O150" s="1" t="str">
        <f t="shared" si="8"/>
        <v>Valid</v>
      </c>
      <c r="P150" t="s">
        <v>13</v>
      </c>
      <c r="Q150" s="1" t="str">
        <v>Furniture/Equipment</v>
      </c>
      <c r="R150">
        <v>1</v>
      </c>
      <c r="S150" s="2" t="s">
        <v>34</v>
      </c>
    </row>
    <row r="151" spans="1:19" x14ac:dyDescent="0.35">
      <c r="A151">
        <v>46</v>
      </c>
      <c r="B151" s="2" t="s">
        <v>39</v>
      </c>
      <c r="C151" t="s">
        <v>19</v>
      </c>
      <c r="D151" s="1" t="str">
        <v>Male</v>
      </c>
      <c r="E151">
        <v>2</v>
      </c>
      <c r="F151" t="s">
        <v>21</v>
      </c>
      <c r="G151" t="s">
        <v>26</v>
      </c>
      <c r="H151" t="s">
        <v>10</v>
      </c>
      <c r="I151">
        <v>1582</v>
      </c>
      <c r="J151" s="2" t="s">
        <v>41</v>
      </c>
      <c r="K151" s="1" t="str">
        <f t="shared" si="6"/>
        <v>Has Spaces</v>
      </c>
      <c r="L151" s="1" t="b">
        <v>1</v>
      </c>
      <c r="M151" s="1" t="str">
        <f t="shared" si="7"/>
        <v>Valid</v>
      </c>
      <c r="N151">
        <v>18</v>
      </c>
      <c r="O151" s="1" t="str">
        <f t="shared" si="8"/>
        <v>Valid</v>
      </c>
      <c r="P151" t="s">
        <v>11</v>
      </c>
      <c r="Q151" s="1" t="str">
        <v>Radio/Tv</v>
      </c>
      <c r="R151">
        <v>1</v>
      </c>
      <c r="S151" s="2" t="s">
        <v>34</v>
      </c>
    </row>
    <row r="152" spans="1:19" x14ac:dyDescent="0.35">
      <c r="A152">
        <v>42</v>
      </c>
      <c r="B152" s="2" t="s">
        <v>39</v>
      </c>
      <c r="C152" t="s">
        <v>19</v>
      </c>
      <c r="D152" s="1" t="str">
        <v>Male</v>
      </c>
      <c r="E152">
        <v>2</v>
      </c>
      <c r="F152" t="s">
        <v>22</v>
      </c>
      <c r="G152" t="s">
        <v>27</v>
      </c>
      <c r="H152" t="s">
        <v>10</v>
      </c>
      <c r="I152">
        <v>1346</v>
      </c>
      <c r="J152" s="2" t="s">
        <v>41</v>
      </c>
      <c r="K152" s="1" t="str">
        <f t="shared" si="6"/>
        <v>Has Spaces</v>
      </c>
      <c r="L152" s="1" t="b">
        <v>1</v>
      </c>
      <c r="M152" s="1" t="str">
        <f t="shared" si="7"/>
        <v>Valid</v>
      </c>
      <c r="N152">
        <v>6</v>
      </c>
      <c r="O152" s="1" t="str">
        <f t="shared" si="8"/>
        <v>Valid</v>
      </c>
      <c r="P152" t="s">
        <v>11</v>
      </c>
      <c r="Q152" s="1" t="str">
        <v>Radio/Tv</v>
      </c>
      <c r="R152">
        <v>1</v>
      </c>
      <c r="S152" s="2" t="s">
        <v>34</v>
      </c>
    </row>
    <row r="153" spans="1:19" x14ac:dyDescent="0.35">
      <c r="A153">
        <v>38</v>
      </c>
      <c r="B153" s="2" t="s">
        <v>39</v>
      </c>
      <c r="C153" t="s">
        <v>19</v>
      </c>
      <c r="D153" s="1" t="str">
        <v>Male</v>
      </c>
      <c r="E153">
        <v>2</v>
      </c>
      <c r="F153" t="s">
        <v>21</v>
      </c>
      <c r="G153" t="s">
        <v>24</v>
      </c>
      <c r="H153" t="s">
        <v>10</v>
      </c>
      <c r="I153">
        <v>1924</v>
      </c>
      <c r="J153" s="2" t="s">
        <v>41</v>
      </c>
      <c r="K153" s="1" t="str">
        <f t="shared" si="6"/>
        <v>Has Spaces</v>
      </c>
      <c r="L153" s="1" t="b">
        <v>1</v>
      </c>
      <c r="M153" s="1" t="str">
        <f t="shared" si="7"/>
        <v>Valid</v>
      </c>
      <c r="N153">
        <v>10</v>
      </c>
      <c r="O153" s="1" t="str">
        <f t="shared" si="8"/>
        <v>Valid</v>
      </c>
      <c r="P153" t="s">
        <v>11</v>
      </c>
      <c r="Q153" s="1" t="str">
        <v>Radio/Tv</v>
      </c>
      <c r="R153">
        <v>1</v>
      </c>
      <c r="S153" s="2" t="s">
        <v>34</v>
      </c>
    </row>
    <row r="154" spans="1:19" x14ac:dyDescent="0.35">
      <c r="A154">
        <v>24</v>
      </c>
      <c r="B154" s="2" t="s">
        <v>38</v>
      </c>
      <c r="C154" t="s">
        <v>19</v>
      </c>
      <c r="D154" s="1" t="str">
        <v>Male</v>
      </c>
      <c r="E154">
        <v>2</v>
      </c>
      <c r="F154" t="s">
        <v>21</v>
      </c>
      <c r="G154" t="s">
        <v>24</v>
      </c>
      <c r="H154" t="s">
        <v>26</v>
      </c>
      <c r="I154">
        <v>5848</v>
      </c>
      <c r="J154" s="2" t="s">
        <v>42</v>
      </c>
      <c r="K154" s="1" t="str">
        <f t="shared" si="6"/>
        <v>Clean</v>
      </c>
      <c r="L154" s="1" t="b">
        <v>1</v>
      </c>
      <c r="M154" s="1" t="str">
        <f t="shared" si="7"/>
        <v>Valid</v>
      </c>
      <c r="N154">
        <v>36</v>
      </c>
      <c r="O154" s="1" t="str">
        <f t="shared" si="8"/>
        <v>Valid</v>
      </c>
      <c r="P154" t="s">
        <v>11</v>
      </c>
      <c r="Q154" s="1" t="str">
        <v>Radio/Tv</v>
      </c>
      <c r="R154">
        <v>1</v>
      </c>
      <c r="S154" s="2" t="s">
        <v>34</v>
      </c>
    </row>
    <row r="155" spans="1:19" x14ac:dyDescent="0.35">
      <c r="A155">
        <v>29</v>
      </c>
      <c r="B155" s="2" t="s">
        <v>38</v>
      </c>
      <c r="C155" t="s">
        <v>20</v>
      </c>
      <c r="D155" s="1" t="str">
        <v>Female</v>
      </c>
      <c r="E155">
        <v>2</v>
      </c>
      <c r="F155" t="s">
        <v>23</v>
      </c>
      <c r="G155" t="s">
        <v>26</v>
      </c>
      <c r="H155" t="s">
        <v>27</v>
      </c>
      <c r="I155">
        <v>7758</v>
      </c>
      <c r="J155" s="2" t="s">
        <v>42</v>
      </c>
      <c r="K155" s="1" t="str">
        <f t="shared" si="6"/>
        <v>Clean</v>
      </c>
      <c r="L155" s="1" t="b">
        <v>1</v>
      </c>
      <c r="M155" s="1" t="str">
        <f t="shared" si="7"/>
        <v>Valid</v>
      </c>
      <c r="N155">
        <v>24</v>
      </c>
      <c r="O155" s="1" t="str">
        <f t="shared" si="8"/>
        <v>Valid</v>
      </c>
      <c r="P155" t="s">
        <v>14</v>
      </c>
      <c r="Q155" s="1" t="str">
        <v>Car</v>
      </c>
      <c r="R155">
        <v>1</v>
      </c>
      <c r="S155" s="2" t="s">
        <v>34</v>
      </c>
    </row>
    <row r="156" spans="1:19" x14ac:dyDescent="0.35">
      <c r="A156">
        <v>36</v>
      </c>
      <c r="B156" s="2" t="s">
        <v>39</v>
      </c>
      <c r="C156" t="s">
        <v>19</v>
      </c>
      <c r="D156" s="1" t="str">
        <v>Male</v>
      </c>
      <c r="E156">
        <v>3</v>
      </c>
      <c r="F156" t="s">
        <v>23</v>
      </c>
      <c r="G156" t="s">
        <v>27</v>
      </c>
      <c r="H156" t="s">
        <v>27</v>
      </c>
      <c r="I156">
        <v>6967</v>
      </c>
      <c r="J156" s="2" t="s">
        <v>42</v>
      </c>
      <c r="K156" s="1" t="str">
        <f t="shared" si="6"/>
        <v>Clean</v>
      </c>
      <c r="L156" s="1" t="b">
        <v>1</v>
      </c>
      <c r="M156" s="1" t="str">
        <f t="shared" si="7"/>
        <v>Valid</v>
      </c>
      <c r="N156">
        <v>24</v>
      </c>
      <c r="O156" s="1" t="str">
        <f t="shared" si="8"/>
        <v>Valid</v>
      </c>
      <c r="P156" t="s">
        <v>15</v>
      </c>
      <c r="Q156" s="1" t="str">
        <v>Business</v>
      </c>
      <c r="R156">
        <v>1</v>
      </c>
      <c r="S156" s="2" t="s">
        <v>34</v>
      </c>
    </row>
    <row r="157" spans="1:19" x14ac:dyDescent="0.35">
      <c r="A157">
        <v>20</v>
      </c>
      <c r="B157" s="2" t="s">
        <v>38</v>
      </c>
      <c r="C157" t="s">
        <v>20</v>
      </c>
      <c r="D157" s="1" t="str">
        <v>Female</v>
      </c>
      <c r="E157">
        <v>2</v>
      </c>
      <c r="F157" t="s">
        <v>23</v>
      </c>
      <c r="G157" t="s">
        <v>24</v>
      </c>
      <c r="H157" t="s">
        <v>24</v>
      </c>
      <c r="I157">
        <v>1282</v>
      </c>
      <c r="J157" s="2" t="s">
        <v>41</v>
      </c>
      <c r="K157" s="1" t="str">
        <f t="shared" si="6"/>
        <v>Has Spaces</v>
      </c>
      <c r="L157" s="1" t="b">
        <v>1</v>
      </c>
      <c r="M157" s="1" t="str">
        <f t="shared" si="7"/>
        <v>Valid</v>
      </c>
      <c r="N157">
        <v>12</v>
      </c>
      <c r="O157" s="1" t="str">
        <f t="shared" si="8"/>
        <v>Valid</v>
      </c>
      <c r="P157" t="s">
        <v>13</v>
      </c>
      <c r="Q157" s="1" t="str">
        <v>Furniture/Equipment</v>
      </c>
      <c r="R157">
        <v>2</v>
      </c>
      <c r="S157" s="2" t="s">
        <v>35</v>
      </c>
    </row>
    <row r="158" spans="1:19" x14ac:dyDescent="0.35">
      <c r="A158">
        <v>48</v>
      </c>
      <c r="B158" s="2" t="s">
        <v>39</v>
      </c>
      <c r="C158" t="s">
        <v>19</v>
      </c>
      <c r="D158" s="1" t="str">
        <v>Male</v>
      </c>
      <c r="E158">
        <v>2</v>
      </c>
      <c r="F158" t="s">
        <v>21</v>
      </c>
      <c r="G158" t="s">
        <v>27</v>
      </c>
      <c r="H158" t="s">
        <v>24</v>
      </c>
      <c r="I158">
        <v>1288</v>
      </c>
      <c r="J158" s="2" t="s">
        <v>41</v>
      </c>
      <c r="K158" s="1" t="str">
        <f t="shared" si="6"/>
        <v>Has Spaces</v>
      </c>
      <c r="L158" s="1" t="b">
        <v>1</v>
      </c>
      <c r="M158" s="1" t="str">
        <f t="shared" si="7"/>
        <v>Valid</v>
      </c>
      <c r="N158">
        <v>9</v>
      </c>
      <c r="O158" s="1" t="str">
        <f t="shared" si="8"/>
        <v>Valid</v>
      </c>
      <c r="P158" t="s">
        <v>17</v>
      </c>
      <c r="Q158" s="1" t="str">
        <v>Repairs</v>
      </c>
      <c r="R158">
        <v>1</v>
      </c>
      <c r="S158" s="2" t="s">
        <v>34</v>
      </c>
    </row>
    <row r="159" spans="1:19" x14ac:dyDescent="0.35">
      <c r="A159">
        <v>45</v>
      </c>
      <c r="B159" s="2" t="s">
        <v>39</v>
      </c>
      <c r="C159" t="s">
        <v>19</v>
      </c>
      <c r="D159" s="1" t="str">
        <v>Male</v>
      </c>
      <c r="E159">
        <v>1</v>
      </c>
      <c r="F159" t="s">
        <v>21</v>
      </c>
      <c r="G159" t="s">
        <v>24</v>
      </c>
      <c r="H159" t="s">
        <v>24</v>
      </c>
      <c r="I159">
        <v>339</v>
      </c>
      <c r="J159" s="2" t="s">
        <v>41</v>
      </c>
      <c r="K159" s="1" t="str">
        <f t="shared" si="6"/>
        <v>Has Spaces</v>
      </c>
      <c r="L159" s="1" t="b">
        <v>1</v>
      </c>
      <c r="M159" s="1" t="str">
        <f t="shared" si="7"/>
        <v>Valid</v>
      </c>
      <c r="N159">
        <v>12</v>
      </c>
      <c r="O159" s="1" t="str">
        <f t="shared" si="8"/>
        <v>Valid</v>
      </c>
      <c r="P159" t="s">
        <v>12</v>
      </c>
      <c r="Q159" s="1" t="str">
        <v>Education</v>
      </c>
      <c r="R159">
        <v>1</v>
      </c>
      <c r="S159" s="2" t="s">
        <v>34</v>
      </c>
    </row>
    <row r="160" spans="1:19" x14ac:dyDescent="0.35">
      <c r="A160">
        <v>38</v>
      </c>
      <c r="B160" s="2" t="s">
        <v>39</v>
      </c>
      <c r="C160" t="s">
        <v>19</v>
      </c>
      <c r="D160" s="1" t="str">
        <v>Male</v>
      </c>
      <c r="E160">
        <v>2</v>
      </c>
      <c r="F160" t="s">
        <v>21</v>
      </c>
      <c r="G160" t="s">
        <v>27</v>
      </c>
      <c r="H160" t="s">
        <v>27</v>
      </c>
      <c r="I160">
        <v>3512</v>
      </c>
      <c r="J160" s="2" t="s">
        <v>43</v>
      </c>
      <c r="K160" s="1" t="str">
        <f t="shared" si="6"/>
        <v>Clean</v>
      </c>
      <c r="L160" s="1" t="b">
        <v>1</v>
      </c>
      <c r="M160" s="1" t="str">
        <f t="shared" si="7"/>
        <v>Valid</v>
      </c>
      <c r="N160">
        <v>24</v>
      </c>
      <c r="O160" s="1" t="str">
        <f t="shared" si="8"/>
        <v>Valid</v>
      </c>
      <c r="P160" t="s">
        <v>14</v>
      </c>
      <c r="Q160" s="1" t="str">
        <v>Car</v>
      </c>
      <c r="R160">
        <v>1</v>
      </c>
      <c r="S160" s="2" t="s">
        <v>34</v>
      </c>
    </row>
    <row r="161" spans="1:19" x14ac:dyDescent="0.35">
      <c r="A161">
        <v>34</v>
      </c>
      <c r="B161" s="2" t="s">
        <v>39</v>
      </c>
      <c r="C161" t="s">
        <v>19</v>
      </c>
      <c r="D161" s="1" t="str">
        <v>Male</v>
      </c>
      <c r="E161">
        <v>1</v>
      </c>
      <c r="F161" t="s">
        <v>21</v>
      </c>
      <c r="G161" t="s">
        <v>10</v>
      </c>
      <c r="H161" t="s">
        <v>10</v>
      </c>
      <c r="I161">
        <v>1898</v>
      </c>
      <c r="J161" s="2" t="s">
        <v>41</v>
      </c>
      <c r="K161" s="1" t="str">
        <f t="shared" si="6"/>
        <v>Has Spaces</v>
      </c>
      <c r="L161" s="1" t="b">
        <v>1</v>
      </c>
      <c r="M161" s="1" t="str">
        <f t="shared" si="7"/>
        <v>Valid</v>
      </c>
      <c r="N161">
        <v>6</v>
      </c>
      <c r="O161" s="1" t="str">
        <f t="shared" si="8"/>
        <v>Valid</v>
      </c>
      <c r="P161" t="s">
        <v>11</v>
      </c>
      <c r="Q161" s="1" t="str">
        <v>Radio/Tv</v>
      </c>
      <c r="R161">
        <v>1</v>
      </c>
      <c r="S161" s="2" t="s">
        <v>34</v>
      </c>
    </row>
    <row r="162" spans="1:19" x14ac:dyDescent="0.35">
      <c r="A162">
        <v>36</v>
      </c>
      <c r="B162" s="2" t="s">
        <v>39</v>
      </c>
      <c r="C162" t="s">
        <v>19</v>
      </c>
      <c r="D162" s="1" t="str">
        <v>Male</v>
      </c>
      <c r="E162">
        <v>2</v>
      </c>
      <c r="F162" t="s">
        <v>21</v>
      </c>
      <c r="G162" t="s">
        <v>27</v>
      </c>
      <c r="H162" t="s">
        <v>10</v>
      </c>
      <c r="I162">
        <v>2872</v>
      </c>
      <c r="J162" s="2" t="s">
        <v>43</v>
      </c>
      <c r="K162" s="1" t="str">
        <f t="shared" si="6"/>
        <v>Clean</v>
      </c>
      <c r="L162" s="1" t="b">
        <v>1</v>
      </c>
      <c r="M162" s="1" t="str">
        <f t="shared" si="7"/>
        <v>Valid</v>
      </c>
      <c r="N162">
        <v>24</v>
      </c>
      <c r="O162" s="1" t="str">
        <f t="shared" si="8"/>
        <v>Valid</v>
      </c>
      <c r="P162" t="s">
        <v>11</v>
      </c>
      <c r="Q162" s="1" t="str">
        <v>Radio/Tv</v>
      </c>
      <c r="R162">
        <v>1</v>
      </c>
      <c r="S162" s="2" t="s">
        <v>34</v>
      </c>
    </row>
    <row r="163" spans="1:19" x14ac:dyDescent="0.35">
      <c r="A163">
        <v>30</v>
      </c>
      <c r="B163" s="2" t="s">
        <v>39</v>
      </c>
      <c r="C163" t="s">
        <v>20</v>
      </c>
      <c r="D163" s="1" t="str">
        <v>Female</v>
      </c>
      <c r="E163">
        <v>2</v>
      </c>
      <c r="F163" t="s">
        <v>21</v>
      </c>
      <c r="G163" t="s">
        <v>24</v>
      </c>
      <c r="H163" t="s">
        <v>10</v>
      </c>
      <c r="I163">
        <v>1055</v>
      </c>
      <c r="J163" s="2" t="s">
        <v>41</v>
      </c>
      <c r="K163" s="1" t="str">
        <f t="shared" si="6"/>
        <v>Has Spaces</v>
      </c>
      <c r="L163" s="1" t="b">
        <v>1</v>
      </c>
      <c r="M163" s="1" t="str">
        <f t="shared" si="7"/>
        <v>Valid</v>
      </c>
      <c r="N163">
        <v>18</v>
      </c>
      <c r="O163" s="1" t="str">
        <f t="shared" si="8"/>
        <v>Valid</v>
      </c>
      <c r="P163" t="s">
        <v>14</v>
      </c>
      <c r="Q163" s="1" t="str">
        <v>Car</v>
      </c>
      <c r="R163">
        <v>1</v>
      </c>
      <c r="S163" s="2" t="s">
        <v>34</v>
      </c>
    </row>
    <row r="164" spans="1:19" x14ac:dyDescent="0.35">
      <c r="A164">
        <v>36</v>
      </c>
      <c r="B164" s="2" t="s">
        <v>39</v>
      </c>
      <c r="C164" t="s">
        <v>19</v>
      </c>
      <c r="D164" s="1" t="str">
        <v>Male</v>
      </c>
      <c r="E164">
        <v>2</v>
      </c>
      <c r="F164" t="s">
        <v>21</v>
      </c>
      <c r="G164" t="s">
        <v>25</v>
      </c>
      <c r="H164" t="s">
        <v>10</v>
      </c>
      <c r="I164">
        <v>1262</v>
      </c>
      <c r="J164" s="2" t="s">
        <v>41</v>
      </c>
      <c r="K164" s="1" t="str">
        <f t="shared" si="6"/>
        <v>Has Spaces</v>
      </c>
      <c r="L164" s="1" t="b">
        <v>1</v>
      </c>
      <c r="M164" s="1" t="str">
        <f t="shared" si="7"/>
        <v>Valid</v>
      </c>
      <c r="N164">
        <v>15</v>
      </c>
      <c r="O164" s="1" t="str">
        <f t="shared" si="8"/>
        <v>Valid</v>
      </c>
      <c r="P164" t="s">
        <v>16</v>
      </c>
      <c r="Q164" s="1" t="str">
        <v>Domestic Appliances</v>
      </c>
      <c r="R164">
        <v>1</v>
      </c>
      <c r="S164" s="2" t="s">
        <v>34</v>
      </c>
    </row>
    <row r="165" spans="1:19" x14ac:dyDescent="0.35">
      <c r="A165">
        <v>70</v>
      </c>
      <c r="B165" s="2" t="s">
        <v>37</v>
      </c>
      <c r="C165" t="s">
        <v>19</v>
      </c>
      <c r="D165" s="1" t="str">
        <v>Male</v>
      </c>
      <c r="E165">
        <v>3</v>
      </c>
      <c r="F165" t="s">
        <v>22</v>
      </c>
      <c r="G165" t="s">
        <v>24</v>
      </c>
      <c r="H165" t="s">
        <v>27</v>
      </c>
      <c r="I165">
        <v>7308</v>
      </c>
      <c r="J165" s="2" t="s">
        <v>42</v>
      </c>
      <c r="K165" s="1" t="str">
        <f t="shared" si="6"/>
        <v>Clean</v>
      </c>
      <c r="L165" s="1" t="b">
        <v>1</v>
      </c>
      <c r="M165" s="1" t="str">
        <f t="shared" si="7"/>
        <v>Valid</v>
      </c>
      <c r="N165">
        <v>10</v>
      </c>
      <c r="O165" s="1" t="str">
        <f t="shared" si="8"/>
        <v>Valid</v>
      </c>
      <c r="P165" t="s">
        <v>14</v>
      </c>
      <c r="Q165" s="1" t="str">
        <v>Car</v>
      </c>
      <c r="R165">
        <v>1</v>
      </c>
      <c r="S165" s="2" t="s">
        <v>34</v>
      </c>
    </row>
    <row r="166" spans="1:19" x14ac:dyDescent="0.35">
      <c r="A166">
        <v>36</v>
      </c>
      <c r="B166" s="2" t="s">
        <v>39</v>
      </c>
      <c r="C166" t="s">
        <v>19</v>
      </c>
      <c r="D166" s="1" t="str">
        <v>Male</v>
      </c>
      <c r="E166">
        <v>2</v>
      </c>
      <c r="F166" t="s">
        <v>21</v>
      </c>
      <c r="G166" t="s">
        <v>25</v>
      </c>
      <c r="H166" t="s">
        <v>10</v>
      </c>
      <c r="I166">
        <v>909</v>
      </c>
      <c r="J166" s="2" t="s">
        <v>41</v>
      </c>
      <c r="K166" s="1" t="str">
        <f t="shared" si="6"/>
        <v>Has Spaces</v>
      </c>
      <c r="L166" s="1" t="b">
        <v>1</v>
      </c>
      <c r="M166" s="1" t="str">
        <f t="shared" si="7"/>
        <v>Valid</v>
      </c>
      <c r="N166">
        <v>36</v>
      </c>
      <c r="O166" s="1" t="str">
        <f t="shared" si="8"/>
        <v>Valid</v>
      </c>
      <c r="P166" t="s">
        <v>14</v>
      </c>
      <c r="Q166" s="1" t="str">
        <v>Car</v>
      </c>
      <c r="R166">
        <v>1</v>
      </c>
      <c r="S166" s="2" t="s">
        <v>34</v>
      </c>
    </row>
    <row r="167" spans="1:19" x14ac:dyDescent="0.35">
      <c r="A167">
        <v>32</v>
      </c>
      <c r="B167" s="2" t="s">
        <v>39</v>
      </c>
      <c r="C167" t="s">
        <v>19</v>
      </c>
      <c r="D167" s="1" t="str">
        <v>Male</v>
      </c>
      <c r="E167">
        <v>2</v>
      </c>
      <c r="F167" t="s">
        <v>21</v>
      </c>
      <c r="G167" t="s">
        <v>25</v>
      </c>
      <c r="H167" t="s">
        <v>10</v>
      </c>
      <c r="I167">
        <v>2978</v>
      </c>
      <c r="J167" s="2" t="s">
        <v>43</v>
      </c>
      <c r="K167" s="1" t="str">
        <f t="shared" si="6"/>
        <v>Clean</v>
      </c>
      <c r="L167" s="1" t="b">
        <v>1</v>
      </c>
      <c r="M167" s="1" t="str">
        <f t="shared" si="7"/>
        <v>Valid</v>
      </c>
      <c r="N167">
        <v>6</v>
      </c>
      <c r="O167" s="1" t="str">
        <f t="shared" si="8"/>
        <v>Valid</v>
      </c>
      <c r="P167" t="s">
        <v>13</v>
      </c>
      <c r="Q167" s="1" t="str">
        <v>Furniture/Equipment</v>
      </c>
      <c r="R167">
        <v>1</v>
      </c>
      <c r="S167" s="2" t="s">
        <v>34</v>
      </c>
    </row>
    <row r="168" spans="1:19" x14ac:dyDescent="0.35">
      <c r="A168">
        <v>33</v>
      </c>
      <c r="B168" s="2" t="s">
        <v>39</v>
      </c>
      <c r="C168" t="s">
        <v>20</v>
      </c>
      <c r="D168" s="1" t="str">
        <v>Female</v>
      </c>
      <c r="E168">
        <v>2</v>
      </c>
      <c r="F168" t="s">
        <v>21</v>
      </c>
      <c r="G168" t="s">
        <v>24</v>
      </c>
      <c r="H168" t="s">
        <v>24</v>
      </c>
      <c r="I168">
        <v>1131</v>
      </c>
      <c r="J168" s="2" t="s">
        <v>41</v>
      </c>
      <c r="K168" s="1" t="str">
        <f t="shared" si="6"/>
        <v>Has Spaces</v>
      </c>
      <c r="L168" s="1" t="b">
        <v>1</v>
      </c>
      <c r="M168" s="1" t="str">
        <f t="shared" si="7"/>
        <v>Valid</v>
      </c>
      <c r="N168">
        <v>18</v>
      </c>
      <c r="O168" s="1" t="str">
        <f t="shared" si="8"/>
        <v>Valid</v>
      </c>
      <c r="P168" t="s">
        <v>13</v>
      </c>
      <c r="Q168" s="1" t="str">
        <v>Furniture/Equipment</v>
      </c>
      <c r="R168">
        <v>2</v>
      </c>
      <c r="S168" s="2" t="s">
        <v>35</v>
      </c>
    </row>
    <row r="169" spans="1:19" x14ac:dyDescent="0.35">
      <c r="A169">
        <v>20</v>
      </c>
      <c r="B169" s="2" t="s">
        <v>38</v>
      </c>
      <c r="C169" t="s">
        <v>20</v>
      </c>
      <c r="D169" s="1" t="str">
        <v>Female</v>
      </c>
      <c r="E169">
        <v>2</v>
      </c>
      <c r="F169" t="s">
        <v>21</v>
      </c>
      <c r="G169" t="s">
        <v>26</v>
      </c>
      <c r="H169" t="s">
        <v>27</v>
      </c>
      <c r="I169">
        <v>1577</v>
      </c>
      <c r="J169" s="2" t="s">
        <v>41</v>
      </c>
      <c r="K169" s="1" t="str">
        <f t="shared" si="6"/>
        <v>Has Spaces</v>
      </c>
      <c r="L169" s="1" t="b">
        <v>1</v>
      </c>
      <c r="M169" s="1" t="str">
        <f t="shared" si="7"/>
        <v>Valid</v>
      </c>
      <c r="N169">
        <v>11</v>
      </c>
      <c r="O169" s="1" t="str">
        <f t="shared" si="8"/>
        <v>Valid</v>
      </c>
      <c r="P169" t="s">
        <v>13</v>
      </c>
      <c r="Q169" s="1" t="str">
        <v>Furniture/Equipment</v>
      </c>
      <c r="R169">
        <v>1</v>
      </c>
      <c r="S169" s="2" t="s">
        <v>34</v>
      </c>
    </row>
    <row r="170" spans="1:19" x14ac:dyDescent="0.35">
      <c r="A170">
        <v>25</v>
      </c>
      <c r="B170" s="2" t="s">
        <v>38</v>
      </c>
      <c r="C170" t="s">
        <v>20</v>
      </c>
      <c r="D170" s="1" t="str">
        <v>Female</v>
      </c>
      <c r="E170">
        <v>2</v>
      </c>
      <c r="F170" t="s">
        <v>23</v>
      </c>
      <c r="G170" t="s">
        <v>24</v>
      </c>
      <c r="H170" t="s">
        <v>10</v>
      </c>
      <c r="I170">
        <v>3972</v>
      </c>
      <c r="J170" s="2" t="s">
        <v>43</v>
      </c>
      <c r="K170" s="1" t="str">
        <f t="shared" si="6"/>
        <v>Clean</v>
      </c>
      <c r="L170" s="1" t="b">
        <v>1</v>
      </c>
      <c r="M170" s="1" t="str">
        <f t="shared" si="7"/>
        <v>Valid</v>
      </c>
      <c r="N170">
        <v>24</v>
      </c>
      <c r="O170" s="1" t="str">
        <f t="shared" si="8"/>
        <v>Valid</v>
      </c>
      <c r="P170" t="s">
        <v>13</v>
      </c>
      <c r="Q170" s="1" t="str">
        <v>Furniture/Equipment</v>
      </c>
      <c r="R170">
        <v>1</v>
      </c>
      <c r="S170" s="2" t="s">
        <v>34</v>
      </c>
    </row>
    <row r="171" spans="1:19" x14ac:dyDescent="0.35">
      <c r="A171">
        <v>31</v>
      </c>
      <c r="B171" s="2" t="s">
        <v>39</v>
      </c>
      <c r="C171" t="s">
        <v>19</v>
      </c>
      <c r="D171" s="1" t="str">
        <v>Male</v>
      </c>
      <c r="E171">
        <v>2</v>
      </c>
      <c r="F171" t="s">
        <v>21</v>
      </c>
      <c r="G171" t="s">
        <v>24</v>
      </c>
      <c r="H171" t="s">
        <v>27</v>
      </c>
      <c r="I171">
        <v>1935</v>
      </c>
      <c r="J171" s="2" t="s">
        <v>41</v>
      </c>
      <c r="K171" s="1" t="str">
        <f t="shared" si="6"/>
        <v>Has Spaces</v>
      </c>
      <c r="L171" s="1" t="b">
        <v>1</v>
      </c>
      <c r="M171" s="1" t="str">
        <f t="shared" si="7"/>
        <v>Valid</v>
      </c>
      <c r="N171">
        <v>24</v>
      </c>
      <c r="O171" s="1" t="str">
        <f t="shared" si="8"/>
        <v>Valid</v>
      </c>
      <c r="P171" t="s">
        <v>15</v>
      </c>
      <c r="Q171" s="1" t="str">
        <v>Business</v>
      </c>
      <c r="R171">
        <v>2</v>
      </c>
      <c r="S171" s="2" t="s">
        <v>35</v>
      </c>
    </row>
    <row r="172" spans="1:19" x14ac:dyDescent="0.35">
      <c r="A172">
        <v>33</v>
      </c>
      <c r="B172" s="2" t="s">
        <v>39</v>
      </c>
      <c r="C172" t="s">
        <v>19</v>
      </c>
      <c r="D172" s="1" t="str">
        <v>Male</v>
      </c>
      <c r="E172">
        <v>2</v>
      </c>
      <c r="F172" t="s">
        <v>23</v>
      </c>
      <c r="G172" t="s">
        <v>24</v>
      </c>
      <c r="H172" t="s">
        <v>24</v>
      </c>
      <c r="I172">
        <v>950</v>
      </c>
      <c r="J172" s="2" t="s">
        <v>41</v>
      </c>
      <c r="K172" s="1" t="str">
        <f t="shared" si="6"/>
        <v>Has Spaces</v>
      </c>
      <c r="L172" s="1" t="b">
        <v>1</v>
      </c>
      <c r="M172" s="1" t="str">
        <f t="shared" si="7"/>
        <v>Valid</v>
      </c>
      <c r="N172">
        <v>15</v>
      </c>
      <c r="O172" s="1" t="str">
        <f t="shared" si="8"/>
        <v>Valid</v>
      </c>
      <c r="P172" t="s">
        <v>14</v>
      </c>
      <c r="Q172" s="1" t="str">
        <v>Car</v>
      </c>
      <c r="R172">
        <v>2</v>
      </c>
      <c r="S172" s="2" t="s">
        <v>35</v>
      </c>
    </row>
    <row r="173" spans="1:19" x14ac:dyDescent="0.35">
      <c r="A173">
        <v>26</v>
      </c>
      <c r="B173" s="2" t="s">
        <v>38</v>
      </c>
      <c r="C173" t="s">
        <v>20</v>
      </c>
      <c r="D173" s="1" t="str">
        <v>Female</v>
      </c>
      <c r="E173">
        <v>2</v>
      </c>
      <c r="F173" t="s">
        <v>21</v>
      </c>
      <c r="G173" t="s">
        <v>24</v>
      </c>
      <c r="H173" t="s">
        <v>10</v>
      </c>
      <c r="I173">
        <v>763</v>
      </c>
      <c r="J173" s="2" t="s">
        <v>41</v>
      </c>
      <c r="K173" s="1" t="str">
        <f t="shared" si="6"/>
        <v>Has Spaces</v>
      </c>
      <c r="L173" s="1" t="b">
        <v>1</v>
      </c>
      <c r="M173" s="1" t="str">
        <f t="shared" si="7"/>
        <v>Valid</v>
      </c>
      <c r="N173">
        <v>12</v>
      </c>
      <c r="O173" s="1" t="str">
        <f t="shared" si="8"/>
        <v>Valid</v>
      </c>
      <c r="P173" t="s">
        <v>13</v>
      </c>
      <c r="Q173" s="1" t="str">
        <v>Furniture/Equipment</v>
      </c>
      <c r="R173">
        <v>1</v>
      </c>
      <c r="S173" s="2" t="s">
        <v>34</v>
      </c>
    </row>
    <row r="174" spans="1:19" x14ac:dyDescent="0.35">
      <c r="A174">
        <v>34</v>
      </c>
      <c r="B174" s="2" t="s">
        <v>39</v>
      </c>
      <c r="C174" t="s">
        <v>20</v>
      </c>
      <c r="D174" s="1" t="str">
        <v>Female</v>
      </c>
      <c r="E174">
        <v>3</v>
      </c>
      <c r="F174" t="s">
        <v>21</v>
      </c>
      <c r="G174" t="s">
        <v>24</v>
      </c>
      <c r="H174" t="s">
        <v>27</v>
      </c>
      <c r="I174">
        <v>2064</v>
      </c>
      <c r="J174" s="2" t="s">
        <v>43</v>
      </c>
      <c r="K174" s="1" t="str">
        <f t="shared" si="6"/>
        <v>Clean</v>
      </c>
      <c r="L174" s="1" t="b">
        <v>1</v>
      </c>
      <c r="M174" s="1" t="str">
        <f t="shared" si="7"/>
        <v>Valid</v>
      </c>
      <c r="N174">
        <v>24</v>
      </c>
      <c r="O174" s="1" t="str">
        <f t="shared" si="8"/>
        <v>Valid</v>
      </c>
      <c r="P174" t="s">
        <v>13</v>
      </c>
      <c r="Q174" s="1" t="str">
        <v>Furniture/Equipment</v>
      </c>
      <c r="R174">
        <v>2</v>
      </c>
      <c r="S174" s="2" t="s">
        <v>35</v>
      </c>
    </row>
    <row r="175" spans="1:19" x14ac:dyDescent="0.35">
      <c r="A175">
        <v>33</v>
      </c>
      <c r="B175" s="2" t="s">
        <v>39</v>
      </c>
      <c r="C175" t="s">
        <v>19</v>
      </c>
      <c r="D175" s="1" t="str">
        <v>Male</v>
      </c>
      <c r="E175">
        <v>2</v>
      </c>
      <c r="F175" t="s">
        <v>21</v>
      </c>
      <c r="G175" t="s">
        <v>24</v>
      </c>
      <c r="H175" t="s">
        <v>27</v>
      </c>
      <c r="I175">
        <v>1414</v>
      </c>
      <c r="J175" s="2" t="s">
        <v>41</v>
      </c>
      <c r="K175" s="1" t="str">
        <f t="shared" si="6"/>
        <v>Has Spaces</v>
      </c>
      <c r="L175" s="1" t="b">
        <v>1</v>
      </c>
      <c r="M175" s="1" t="str">
        <f t="shared" si="7"/>
        <v>Valid</v>
      </c>
      <c r="N175">
        <v>8</v>
      </c>
      <c r="O175" s="1" t="str">
        <f t="shared" si="8"/>
        <v>Valid</v>
      </c>
      <c r="P175" t="s">
        <v>11</v>
      </c>
      <c r="Q175" s="1" t="str">
        <v>Radio/Tv</v>
      </c>
      <c r="R175">
        <v>1</v>
      </c>
      <c r="S175" s="2" t="s">
        <v>34</v>
      </c>
    </row>
    <row r="176" spans="1:19" x14ac:dyDescent="0.35">
      <c r="A176">
        <v>26</v>
      </c>
      <c r="B176" s="2" t="s">
        <v>38</v>
      </c>
      <c r="C176" t="s">
        <v>19</v>
      </c>
      <c r="D176" s="1" t="str">
        <v>Male</v>
      </c>
      <c r="E176">
        <v>2</v>
      </c>
      <c r="F176" t="s">
        <v>21</v>
      </c>
      <c r="G176" t="s">
        <v>24</v>
      </c>
      <c r="H176" t="s">
        <v>24</v>
      </c>
      <c r="I176">
        <v>3414</v>
      </c>
      <c r="J176" s="2" t="s">
        <v>43</v>
      </c>
      <c r="K176" s="1" t="str">
        <f t="shared" si="6"/>
        <v>Clean</v>
      </c>
      <c r="L176" s="1" t="b">
        <v>1</v>
      </c>
      <c r="M176" s="1" t="str">
        <f t="shared" si="7"/>
        <v>Valid</v>
      </c>
      <c r="N176">
        <v>21</v>
      </c>
      <c r="O176" s="1" t="str">
        <f t="shared" si="8"/>
        <v>Valid</v>
      </c>
      <c r="P176" t="s">
        <v>12</v>
      </c>
      <c r="Q176" s="1" t="str">
        <v>Education</v>
      </c>
      <c r="R176">
        <v>2</v>
      </c>
      <c r="S176" s="2" t="s">
        <v>35</v>
      </c>
    </row>
    <row r="177" spans="1:19" x14ac:dyDescent="0.35">
      <c r="A177">
        <v>53</v>
      </c>
      <c r="B177" s="2" t="s">
        <v>37</v>
      </c>
      <c r="C177" t="s">
        <v>20</v>
      </c>
      <c r="D177" s="1" t="str">
        <v>Female</v>
      </c>
      <c r="E177">
        <v>3</v>
      </c>
      <c r="F177" t="s">
        <v>21</v>
      </c>
      <c r="G177" t="s">
        <v>10</v>
      </c>
      <c r="H177" t="s">
        <v>10</v>
      </c>
      <c r="I177">
        <v>7485</v>
      </c>
      <c r="J177" s="2" t="s">
        <v>42</v>
      </c>
      <c r="K177" s="1" t="str">
        <f t="shared" si="6"/>
        <v>Clean</v>
      </c>
      <c r="L177" s="1" t="b">
        <v>1</v>
      </c>
      <c r="M177" s="1" t="str">
        <f t="shared" si="7"/>
        <v>Valid</v>
      </c>
      <c r="N177">
        <v>30</v>
      </c>
      <c r="O177" s="1" t="str">
        <f t="shared" si="8"/>
        <v>Valid</v>
      </c>
      <c r="P177" t="s">
        <v>14</v>
      </c>
      <c r="Q177" s="1" t="str">
        <v>Car</v>
      </c>
      <c r="R177">
        <v>2</v>
      </c>
      <c r="S177" s="2" t="s">
        <v>35</v>
      </c>
    </row>
    <row r="178" spans="1:19" x14ac:dyDescent="0.35">
      <c r="A178">
        <v>42</v>
      </c>
      <c r="B178" s="2" t="s">
        <v>39</v>
      </c>
      <c r="C178" t="s">
        <v>19</v>
      </c>
      <c r="D178" s="1" t="str">
        <v>Male</v>
      </c>
      <c r="E178">
        <v>2</v>
      </c>
      <c r="F178" t="s">
        <v>21</v>
      </c>
      <c r="G178" t="s">
        <v>24</v>
      </c>
      <c r="H178" t="s">
        <v>24</v>
      </c>
      <c r="I178">
        <v>2577</v>
      </c>
      <c r="J178" s="2" t="s">
        <v>43</v>
      </c>
      <c r="K178" s="1" t="str">
        <f t="shared" si="6"/>
        <v>Clean</v>
      </c>
      <c r="L178" s="1" t="b">
        <v>1</v>
      </c>
      <c r="M178" s="1" t="str">
        <f t="shared" si="7"/>
        <v>Valid</v>
      </c>
      <c r="N178">
        <v>12</v>
      </c>
      <c r="O178" s="1" t="str">
        <f t="shared" si="8"/>
        <v>Valid</v>
      </c>
      <c r="P178" t="s">
        <v>13</v>
      </c>
      <c r="Q178" s="1" t="str">
        <v>Furniture/Equipment</v>
      </c>
      <c r="R178">
        <v>1</v>
      </c>
      <c r="S178" s="2" t="s">
        <v>34</v>
      </c>
    </row>
    <row r="179" spans="1:19" x14ac:dyDescent="0.35">
      <c r="A179">
        <v>52</v>
      </c>
      <c r="B179" s="2" t="s">
        <v>37</v>
      </c>
      <c r="C179" t="s">
        <v>19</v>
      </c>
      <c r="D179" s="1" t="str">
        <v>Male</v>
      </c>
      <c r="E179">
        <v>2</v>
      </c>
      <c r="F179" t="s">
        <v>21</v>
      </c>
      <c r="G179" t="s">
        <v>25</v>
      </c>
      <c r="H179" t="s">
        <v>24</v>
      </c>
      <c r="I179">
        <v>338</v>
      </c>
      <c r="J179" s="2" t="s">
        <v>41</v>
      </c>
      <c r="K179" s="1" t="str">
        <f t="shared" si="6"/>
        <v>Has Spaces</v>
      </c>
      <c r="L179" s="1" t="b">
        <v>1</v>
      </c>
      <c r="M179" s="1" t="str">
        <f t="shared" si="7"/>
        <v>Valid</v>
      </c>
      <c r="N179">
        <v>6</v>
      </c>
      <c r="O179" s="1" t="str">
        <f t="shared" si="8"/>
        <v>Valid</v>
      </c>
      <c r="P179" t="s">
        <v>11</v>
      </c>
      <c r="Q179" s="1" t="str">
        <v>Radio/Tv</v>
      </c>
      <c r="R179">
        <v>1</v>
      </c>
      <c r="S179" s="2" t="s">
        <v>34</v>
      </c>
    </row>
    <row r="180" spans="1:19" x14ac:dyDescent="0.35">
      <c r="A180">
        <v>31</v>
      </c>
      <c r="B180" s="2" t="s">
        <v>39</v>
      </c>
      <c r="C180" t="s">
        <v>19</v>
      </c>
      <c r="D180" s="1" t="str">
        <v>Male</v>
      </c>
      <c r="E180">
        <v>3</v>
      </c>
      <c r="F180" t="s">
        <v>23</v>
      </c>
      <c r="G180" t="s">
        <v>24</v>
      </c>
      <c r="H180" t="s">
        <v>10</v>
      </c>
      <c r="I180">
        <v>1963</v>
      </c>
      <c r="J180" s="2" t="s">
        <v>41</v>
      </c>
      <c r="K180" s="1" t="str">
        <f t="shared" si="6"/>
        <v>Has Spaces</v>
      </c>
      <c r="L180" s="1" t="b">
        <v>1</v>
      </c>
      <c r="M180" s="1" t="str">
        <f t="shared" si="7"/>
        <v>Valid</v>
      </c>
      <c r="N180">
        <v>12</v>
      </c>
      <c r="O180" s="1" t="str">
        <f t="shared" si="8"/>
        <v>Valid</v>
      </c>
      <c r="P180" t="s">
        <v>11</v>
      </c>
      <c r="Q180" s="1" t="str">
        <v>Radio/Tv</v>
      </c>
      <c r="R180">
        <v>1</v>
      </c>
      <c r="S180" s="2" t="s">
        <v>34</v>
      </c>
    </row>
    <row r="181" spans="1:19" x14ac:dyDescent="0.35">
      <c r="A181">
        <v>65</v>
      </c>
      <c r="B181" s="2" t="s">
        <v>37</v>
      </c>
      <c r="C181" t="s">
        <v>19</v>
      </c>
      <c r="D181" s="1" t="str">
        <v>Male</v>
      </c>
      <c r="E181">
        <v>2</v>
      </c>
      <c r="F181" t="s">
        <v>21</v>
      </c>
      <c r="G181" t="s">
        <v>24</v>
      </c>
      <c r="H181" t="s">
        <v>24</v>
      </c>
      <c r="I181">
        <v>571</v>
      </c>
      <c r="J181" s="2" t="s">
        <v>41</v>
      </c>
      <c r="K181" s="1" t="str">
        <f t="shared" si="6"/>
        <v>Has Spaces</v>
      </c>
      <c r="L181" s="1" t="b">
        <v>1</v>
      </c>
      <c r="M181" s="1" t="str">
        <f t="shared" si="7"/>
        <v>Valid</v>
      </c>
      <c r="N181">
        <v>21</v>
      </c>
      <c r="O181" s="1" t="str">
        <f t="shared" si="8"/>
        <v>Valid</v>
      </c>
      <c r="P181" t="s">
        <v>14</v>
      </c>
      <c r="Q181" s="1" t="str">
        <v>Car</v>
      </c>
      <c r="R181">
        <v>1</v>
      </c>
      <c r="S181" s="2" t="s">
        <v>34</v>
      </c>
    </row>
    <row r="182" spans="1:19" x14ac:dyDescent="0.35">
      <c r="A182">
        <v>28</v>
      </c>
      <c r="B182" s="2" t="s">
        <v>38</v>
      </c>
      <c r="C182" t="s">
        <v>19</v>
      </c>
      <c r="D182" s="1" t="str">
        <v>Male</v>
      </c>
      <c r="E182">
        <v>2</v>
      </c>
      <c r="F182" t="s">
        <v>21</v>
      </c>
      <c r="G182" t="s">
        <v>24</v>
      </c>
      <c r="H182" t="s">
        <v>10</v>
      </c>
      <c r="I182">
        <v>9572</v>
      </c>
      <c r="J182" s="2" t="s">
        <v>42</v>
      </c>
      <c r="K182" s="1" t="str">
        <f t="shared" si="6"/>
        <v>Clean</v>
      </c>
      <c r="L182" s="1" t="b">
        <v>1</v>
      </c>
      <c r="M182" s="1" t="str">
        <f t="shared" si="7"/>
        <v>Valid</v>
      </c>
      <c r="N182">
        <v>36</v>
      </c>
      <c r="O182" s="1" t="str">
        <f t="shared" si="8"/>
        <v>Valid</v>
      </c>
      <c r="P182" t="s">
        <v>15</v>
      </c>
      <c r="Q182" s="1" t="str">
        <v>Business</v>
      </c>
      <c r="R182">
        <v>2</v>
      </c>
      <c r="S182" s="2" t="s">
        <v>35</v>
      </c>
    </row>
    <row r="183" spans="1:19" x14ac:dyDescent="0.35">
      <c r="A183">
        <v>30</v>
      </c>
      <c r="B183" s="2" t="s">
        <v>39</v>
      </c>
      <c r="C183" t="s">
        <v>19</v>
      </c>
      <c r="D183" s="1" t="str">
        <v>Male</v>
      </c>
      <c r="E183">
        <v>3</v>
      </c>
      <c r="F183" t="s">
        <v>21</v>
      </c>
      <c r="G183" t="s">
        <v>24</v>
      </c>
      <c r="H183" t="s">
        <v>27</v>
      </c>
      <c r="I183">
        <v>4455</v>
      </c>
      <c r="J183" s="2" t="s">
        <v>43</v>
      </c>
      <c r="K183" s="1" t="str">
        <f t="shared" si="6"/>
        <v>Clean</v>
      </c>
      <c r="L183" s="1" t="b">
        <v>1</v>
      </c>
      <c r="M183" s="1" t="str">
        <f t="shared" si="7"/>
        <v>Valid</v>
      </c>
      <c r="N183">
        <v>36</v>
      </c>
      <c r="O183" s="1" t="str">
        <f t="shared" si="8"/>
        <v>Valid</v>
      </c>
      <c r="P183" t="s">
        <v>15</v>
      </c>
      <c r="Q183" s="1" t="str">
        <v>Business</v>
      </c>
      <c r="R183">
        <v>2</v>
      </c>
      <c r="S183" s="2" t="s">
        <v>35</v>
      </c>
    </row>
    <row r="184" spans="1:19" x14ac:dyDescent="0.35">
      <c r="A184">
        <v>40</v>
      </c>
      <c r="B184" s="2" t="s">
        <v>39</v>
      </c>
      <c r="C184" t="s">
        <v>19</v>
      </c>
      <c r="D184" s="1" t="str">
        <v>Male</v>
      </c>
      <c r="E184">
        <v>1</v>
      </c>
      <c r="F184" t="s">
        <v>21</v>
      </c>
      <c r="G184" t="s">
        <v>10</v>
      </c>
      <c r="H184" t="s">
        <v>24</v>
      </c>
      <c r="I184">
        <v>1647</v>
      </c>
      <c r="J184" s="2" t="s">
        <v>41</v>
      </c>
      <c r="K184" s="1" t="str">
        <f t="shared" si="6"/>
        <v>Has Spaces</v>
      </c>
      <c r="L184" s="1" t="b">
        <v>1</v>
      </c>
      <c r="M184" s="1" t="str">
        <f t="shared" si="7"/>
        <v>Valid</v>
      </c>
      <c r="N184">
        <v>21</v>
      </c>
      <c r="O184" s="1" t="str">
        <f t="shared" si="8"/>
        <v>Valid</v>
      </c>
      <c r="P184" t="s">
        <v>14</v>
      </c>
      <c r="Q184" s="1" t="str">
        <v>Car</v>
      </c>
      <c r="R184">
        <v>2</v>
      </c>
      <c r="S184" s="2" t="s">
        <v>35</v>
      </c>
    </row>
    <row r="185" spans="1:19" x14ac:dyDescent="0.35">
      <c r="A185">
        <v>50</v>
      </c>
      <c r="B185" s="2" t="s">
        <v>37</v>
      </c>
      <c r="C185" t="s">
        <v>19</v>
      </c>
      <c r="D185" s="1" t="str">
        <v>Male</v>
      </c>
      <c r="E185">
        <v>2</v>
      </c>
      <c r="F185" t="s">
        <v>21</v>
      </c>
      <c r="G185" t="s">
        <v>26</v>
      </c>
      <c r="H185" t="s">
        <v>10</v>
      </c>
      <c r="I185">
        <v>3777</v>
      </c>
      <c r="J185" s="2" t="s">
        <v>43</v>
      </c>
      <c r="K185" s="1" t="str">
        <f t="shared" si="6"/>
        <v>Clean</v>
      </c>
      <c r="L185" s="1" t="b">
        <v>1</v>
      </c>
      <c r="M185" s="1" t="str">
        <f t="shared" si="7"/>
        <v>Valid</v>
      </c>
      <c r="N185">
        <v>24</v>
      </c>
      <c r="O185" s="1" t="str">
        <f t="shared" si="8"/>
        <v>Valid</v>
      </c>
      <c r="P185" t="s">
        <v>13</v>
      </c>
      <c r="Q185" s="1" t="str">
        <v>Furniture/Equipment</v>
      </c>
      <c r="R185">
        <v>1</v>
      </c>
      <c r="S185" s="2" t="s">
        <v>34</v>
      </c>
    </row>
    <row r="186" spans="1:19" x14ac:dyDescent="0.35">
      <c r="A186">
        <v>36</v>
      </c>
      <c r="B186" s="2" t="s">
        <v>39</v>
      </c>
      <c r="C186" t="s">
        <v>19</v>
      </c>
      <c r="D186" s="1" t="str">
        <v>Male</v>
      </c>
      <c r="E186">
        <v>2</v>
      </c>
      <c r="F186" t="s">
        <v>21</v>
      </c>
      <c r="G186" t="s">
        <v>24</v>
      </c>
      <c r="H186" t="s">
        <v>27</v>
      </c>
      <c r="I186">
        <v>884</v>
      </c>
      <c r="J186" s="2" t="s">
        <v>41</v>
      </c>
      <c r="K186" s="1" t="str">
        <f t="shared" si="6"/>
        <v>Has Spaces</v>
      </c>
      <c r="L186" s="1" t="b">
        <v>1</v>
      </c>
      <c r="M186" s="1" t="str">
        <f t="shared" si="7"/>
        <v>Valid</v>
      </c>
      <c r="N186">
        <v>18</v>
      </c>
      <c r="O186" s="1" t="str">
        <f t="shared" si="8"/>
        <v>Valid</v>
      </c>
      <c r="P186" t="s">
        <v>14</v>
      </c>
      <c r="Q186" s="1" t="str">
        <v>Car</v>
      </c>
      <c r="R186">
        <v>2</v>
      </c>
      <c r="S186" s="2" t="s">
        <v>35</v>
      </c>
    </row>
    <row r="187" spans="1:19" x14ac:dyDescent="0.35">
      <c r="A187">
        <v>31</v>
      </c>
      <c r="B187" s="2" t="s">
        <v>39</v>
      </c>
      <c r="C187" t="s">
        <v>19</v>
      </c>
      <c r="D187" s="1" t="str">
        <v>Male</v>
      </c>
      <c r="E187">
        <v>2</v>
      </c>
      <c r="F187" t="s">
        <v>21</v>
      </c>
      <c r="G187" t="s">
        <v>24</v>
      </c>
      <c r="H187" t="s">
        <v>10</v>
      </c>
      <c r="I187">
        <v>1360</v>
      </c>
      <c r="J187" s="2" t="s">
        <v>41</v>
      </c>
      <c r="K187" s="1" t="str">
        <f t="shared" si="6"/>
        <v>Has Spaces</v>
      </c>
      <c r="L187" s="1" t="b">
        <v>1</v>
      </c>
      <c r="M187" s="1" t="str">
        <f t="shared" si="7"/>
        <v>Valid</v>
      </c>
      <c r="N187">
        <v>15</v>
      </c>
      <c r="O187" s="1" t="str">
        <f t="shared" si="8"/>
        <v>Valid</v>
      </c>
      <c r="P187" t="s">
        <v>11</v>
      </c>
      <c r="Q187" s="1" t="str">
        <v>Radio/Tv</v>
      </c>
      <c r="R187">
        <v>1</v>
      </c>
      <c r="S187" s="2" t="s">
        <v>34</v>
      </c>
    </row>
    <row r="188" spans="1:19" x14ac:dyDescent="0.35">
      <c r="A188">
        <v>74</v>
      </c>
      <c r="B188" s="2" t="s">
        <v>37</v>
      </c>
      <c r="C188" t="s">
        <v>20</v>
      </c>
      <c r="D188" s="1" t="str">
        <v>Female</v>
      </c>
      <c r="E188">
        <v>3</v>
      </c>
      <c r="F188" t="s">
        <v>22</v>
      </c>
      <c r="G188" t="s">
        <v>24</v>
      </c>
      <c r="H188" t="s">
        <v>27</v>
      </c>
      <c r="I188">
        <v>5129</v>
      </c>
      <c r="J188" s="2" t="s">
        <v>42</v>
      </c>
      <c r="K188" s="1" t="str">
        <f t="shared" si="6"/>
        <v>Clean</v>
      </c>
      <c r="L188" s="1" t="b">
        <v>1</v>
      </c>
      <c r="M188" s="1" t="str">
        <f t="shared" si="7"/>
        <v>Valid</v>
      </c>
      <c r="N188">
        <v>9</v>
      </c>
      <c r="O188" s="1" t="str">
        <f t="shared" si="8"/>
        <v>Valid</v>
      </c>
      <c r="P188" t="s">
        <v>14</v>
      </c>
      <c r="Q188" s="1" t="str">
        <v>Car</v>
      </c>
      <c r="R188">
        <v>2</v>
      </c>
      <c r="S188" s="2" t="s">
        <v>35</v>
      </c>
    </row>
    <row r="189" spans="1:19" x14ac:dyDescent="0.35">
      <c r="A189">
        <v>68</v>
      </c>
      <c r="B189" s="2" t="s">
        <v>37</v>
      </c>
      <c r="C189" t="s">
        <v>19</v>
      </c>
      <c r="D189" s="1" t="str">
        <v>Male</v>
      </c>
      <c r="E189">
        <v>0</v>
      </c>
      <c r="F189" t="s">
        <v>22</v>
      </c>
      <c r="G189" t="s">
        <v>24</v>
      </c>
      <c r="H189" t="s">
        <v>27</v>
      </c>
      <c r="I189">
        <v>1175</v>
      </c>
      <c r="J189" s="2" t="s">
        <v>41</v>
      </c>
      <c r="K189" s="1" t="str">
        <f t="shared" si="6"/>
        <v>Has Spaces</v>
      </c>
      <c r="L189" s="1" t="b">
        <v>1</v>
      </c>
      <c r="M189" s="1" t="str">
        <f t="shared" si="7"/>
        <v>Valid</v>
      </c>
      <c r="N189">
        <v>16</v>
      </c>
      <c r="O189" s="1" t="str">
        <f t="shared" si="8"/>
        <v>Valid</v>
      </c>
      <c r="P189" t="s">
        <v>14</v>
      </c>
      <c r="Q189" s="1" t="str">
        <v>Car</v>
      </c>
      <c r="R189">
        <v>1</v>
      </c>
      <c r="S189" s="2" t="s">
        <v>34</v>
      </c>
    </row>
    <row r="190" spans="1:19" x14ac:dyDescent="0.35">
      <c r="A190">
        <v>20</v>
      </c>
      <c r="B190" s="2" t="s">
        <v>38</v>
      </c>
      <c r="C190" t="s">
        <v>19</v>
      </c>
      <c r="D190" s="1" t="str">
        <v>Male</v>
      </c>
      <c r="E190">
        <v>2</v>
      </c>
      <c r="F190" t="s">
        <v>21</v>
      </c>
      <c r="G190" t="s">
        <v>27</v>
      </c>
      <c r="H190" t="s">
        <v>24</v>
      </c>
      <c r="I190">
        <v>674</v>
      </c>
      <c r="J190" s="2" t="s">
        <v>41</v>
      </c>
      <c r="K190" s="1" t="str">
        <f t="shared" si="6"/>
        <v>Has Spaces</v>
      </c>
      <c r="L190" s="1" t="b">
        <v>1</v>
      </c>
      <c r="M190" s="1" t="str">
        <f t="shared" si="7"/>
        <v>Valid</v>
      </c>
      <c r="N190">
        <v>12</v>
      </c>
      <c r="O190" s="1" t="str">
        <f t="shared" si="8"/>
        <v>Valid</v>
      </c>
      <c r="P190" t="s">
        <v>11</v>
      </c>
      <c r="Q190" s="1" t="str">
        <v>Radio/Tv</v>
      </c>
      <c r="R190">
        <v>2</v>
      </c>
      <c r="S190" s="2" t="s">
        <v>35</v>
      </c>
    </row>
    <row r="191" spans="1:19" x14ac:dyDescent="0.35">
      <c r="A191">
        <v>33</v>
      </c>
      <c r="B191" s="2" t="s">
        <v>39</v>
      </c>
      <c r="C191" t="s">
        <v>20</v>
      </c>
      <c r="D191" s="1" t="str">
        <v>Female</v>
      </c>
      <c r="E191">
        <v>2</v>
      </c>
      <c r="F191" t="s">
        <v>21</v>
      </c>
      <c r="G191" t="s">
        <v>24</v>
      </c>
      <c r="H191" t="s">
        <v>27</v>
      </c>
      <c r="I191">
        <v>3244</v>
      </c>
      <c r="J191" s="2" t="s">
        <v>43</v>
      </c>
      <c r="K191" s="1" t="str">
        <f t="shared" si="6"/>
        <v>Clean</v>
      </c>
      <c r="L191" s="1" t="b">
        <v>1</v>
      </c>
      <c r="M191" s="1" t="str">
        <f t="shared" si="7"/>
        <v>Valid</v>
      </c>
      <c r="N191">
        <v>18</v>
      </c>
      <c r="O191" s="1" t="str">
        <f t="shared" si="8"/>
        <v>Valid</v>
      </c>
      <c r="P191" t="s">
        <v>13</v>
      </c>
      <c r="Q191" s="1" t="str">
        <v>Furniture/Equipment</v>
      </c>
      <c r="R191">
        <v>1</v>
      </c>
      <c r="S191" s="2" t="s">
        <v>34</v>
      </c>
    </row>
    <row r="192" spans="1:19" x14ac:dyDescent="0.35">
      <c r="A192">
        <v>54</v>
      </c>
      <c r="B192" s="2" t="s">
        <v>37</v>
      </c>
      <c r="C192" t="s">
        <v>19</v>
      </c>
      <c r="D192" s="1" t="str">
        <v>Male</v>
      </c>
      <c r="E192">
        <v>3</v>
      </c>
      <c r="F192" t="s">
        <v>21</v>
      </c>
      <c r="G192" t="s">
        <v>26</v>
      </c>
      <c r="H192" t="s">
        <v>10</v>
      </c>
      <c r="I192">
        <v>4591</v>
      </c>
      <c r="J192" s="2" t="s">
        <v>43</v>
      </c>
      <c r="K192" s="1" t="str">
        <f t="shared" si="6"/>
        <v>Clean</v>
      </c>
      <c r="L192" s="1" t="b">
        <v>1</v>
      </c>
      <c r="M192" s="1" t="str">
        <f t="shared" si="7"/>
        <v>Valid</v>
      </c>
      <c r="N192">
        <v>24</v>
      </c>
      <c r="O192" s="1" t="str">
        <f t="shared" si="8"/>
        <v>Valid</v>
      </c>
      <c r="P192" t="s">
        <v>15</v>
      </c>
      <c r="Q192" s="1" t="str">
        <v>Business</v>
      </c>
      <c r="R192">
        <v>2</v>
      </c>
      <c r="S192" s="2" t="s">
        <v>35</v>
      </c>
    </row>
    <row r="193" spans="1:19" x14ac:dyDescent="0.35">
      <c r="A193">
        <v>34</v>
      </c>
      <c r="B193" s="2" t="s">
        <v>39</v>
      </c>
      <c r="C193" t="s">
        <v>19</v>
      </c>
      <c r="D193" s="1" t="str">
        <v>Male</v>
      </c>
      <c r="E193">
        <v>1</v>
      </c>
      <c r="F193" t="s">
        <v>22</v>
      </c>
      <c r="G193" t="s">
        <v>27</v>
      </c>
      <c r="H193" t="s">
        <v>27</v>
      </c>
      <c r="I193">
        <v>3844</v>
      </c>
      <c r="J193" s="2" t="s">
        <v>43</v>
      </c>
      <c r="K193" s="1" t="str">
        <f t="shared" si="6"/>
        <v>Clean</v>
      </c>
      <c r="L193" s="1" t="b">
        <v>1</v>
      </c>
      <c r="M193" s="1" t="str">
        <f t="shared" si="7"/>
        <v>Valid</v>
      </c>
      <c r="N193">
        <v>48</v>
      </c>
      <c r="O193" s="1" t="str">
        <f t="shared" si="8"/>
        <v>Valid</v>
      </c>
      <c r="P193" t="s">
        <v>15</v>
      </c>
      <c r="Q193" s="1" t="str">
        <v>Business</v>
      </c>
      <c r="R193">
        <v>2</v>
      </c>
      <c r="S193" s="2" t="s">
        <v>35</v>
      </c>
    </row>
    <row r="194" spans="1:19" x14ac:dyDescent="0.35">
      <c r="A194">
        <v>36</v>
      </c>
      <c r="B194" s="2" t="s">
        <v>39</v>
      </c>
      <c r="C194" t="s">
        <v>19</v>
      </c>
      <c r="D194" s="1" t="str">
        <v>Male</v>
      </c>
      <c r="E194">
        <v>2</v>
      </c>
      <c r="F194" t="s">
        <v>21</v>
      </c>
      <c r="G194" t="s">
        <v>24</v>
      </c>
      <c r="H194" t="s">
        <v>27</v>
      </c>
      <c r="I194">
        <v>3915</v>
      </c>
      <c r="J194" s="2" t="s">
        <v>43</v>
      </c>
      <c r="K194" s="1" t="str">
        <f t="shared" si="6"/>
        <v>Clean</v>
      </c>
      <c r="L194" s="1" t="b">
        <v>1</v>
      </c>
      <c r="M194" s="1" t="str">
        <f t="shared" si="7"/>
        <v>Valid</v>
      </c>
      <c r="N194">
        <v>27</v>
      </c>
      <c r="O194" s="1" t="str">
        <f t="shared" si="8"/>
        <v>Valid</v>
      </c>
      <c r="P194" t="s">
        <v>15</v>
      </c>
      <c r="Q194" s="1" t="str">
        <v>Business</v>
      </c>
      <c r="R194">
        <v>2</v>
      </c>
      <c r="S194" s="2" t="s">
        <v>35</v>
      </c>
    </row>
    <row r="195" spans="1:19" x14ac:dyDescent="0.35">
      <c r="A195">
        <v>29</v>
      </c>
      <c r="B195" s="2" t="s">
        <v>38</v>
      </c>
      <c r="C195" t="s">
        <v>19</v>
      </c>
      <c r="D195" s="1" t="str">
        <v>Male</v>
      </c>
      <c r="E195">
        <v>2</v>
      </c>
      <c r="F195" t="s">
        <v>23</v>
      </c>
      <c r="G195" t="s">
        <v>24</v>
      </c>
      <c r="H195" t="s">
        <v>10</v>
      </c>
      <c r="I195">
        <v>2108</v>
      </c>
      <c r="J195" s="2" t="s">
        <v>43</v>
      </c>
      <c r="K195" s="1" t="str">
        <f t="shared" ref="K195:K258" si="9">IF(J195=TRIM(J195),"Clean","Has Spaces")</f>
        <v>Clean</v>
      </c>
      <c r="L195" s="1" t="b">
        <v>1</v>
      </c>
      <c r="M195" s="1" t="str">
        <f t="shared" ref="M195:M258" si="10">IF(I195&gt;0,"Valid", "Invalid")</f>
        <v>Valid</v>
      </c>
      <c r="N195">
        <v>6</v>
      </c>
      <c r="O195" s="1" t="str">
        <f t="shared" ref="O195:O258" si="11">IF(N195&lt;=0,"invalid", "Valid")</f>
        <v>Valid</v>
      </c>
      <c r="P195" t="s">
        <v>11</v>
      </c>
      <c r="Q195" s="1" t="str">
        <v>Radio/Tv</v>
      </c>
      <c r="R195">
        <v>1</v>
      </c>
      <c r="S195" s="2" t="s">
        <v>34</v>
      </c>
    </row>
    <row r="196" spans="1:19" x14ac:dyDescent="0.35">
      <c r="A196">
        <v>21</v>
      </c>
      <c r="B196" s="2" t="s">
        <v>38</v>
      </c>
      <c r="C196" t="s">
        <v>19</v>
      </c>
      <c r="D196" s="1" t="str">
        <v>Male</v>
      </c>
      <c r="E196">
        <v>2</v>
      </c>
      <c r="F196" t="s">
        <v>23</v>
      </c>
      <c r="G196" t="s">
        <v>27</v>
      </c>
      <c r="H196" t="s">
        <v>27</v>
      </c>
      <c r="I196">
        <v>3031</v>
      </c>
      <c r="J196" s="2" t="s">
        <v>43</v>
      </c>
      <c r="K196" s="1" t="str">
        <f t="shared" si="9"/>
        <v>Clean</v>
      </c>
      <c r="L196" s="1" t="b">
        <v>1</v>
      </c>
      <c r="M196" s="1" t="str">
        <f t="shared" si="10"/>
        <v>Valid</v>
      </c>
      <c r="N196">
        <v>45</v>
      </c>
      <c r="O196" s="1" t="str">
        <f t="shared" si="11"/>
        <v>Valid</v>
      </c>
      <c r="P196" t="s">
        <v>11</v>
      </c>
      <c r="Q196" s="1" t="str">
        <v>Radio/Tv</v>
      </c>
      <c r="R196">
        <v>2</v>
      </c>
      <c r="S196" s="2" t="s">
        <v>35</v>
      </c>
    </row>
    <row r="197" spans="1:19" x14ac:dyDescent="0.35">
      <c r="A197">
        <v>34</v>
      </c>
      <c r="B197" s="2" t="s">
        <v>39</v>
      </c>
      <c r="C197" t="s">
        <v>20</v>
      </c>
      <c r="D197" s="1" t="str">
        <v>Female</v>
      </c>
      <c r="E197">
        <v>3</v>
      </c>
      <c r="F197" t="s">
        <v>21</v>
      </c>
      <c r="G197" t="s">
        <v>24</v>
      </c>
      <c r="H197" t="s">
        <v>27</v>
      </c>
      <c r="I197">
        <v>1501</v>
      </c>
      <c r="J197" s="2" t="s">
        <v>41</v>
      </c>
      <c r="K197" s="1" t="str">
        <f t="shared" si="9"/>
        <v>Has Spaces</v>
      </c>
      <c r="L197" s="1" t="b">
        <v>1</v>
      </c>
      <c r="M197" s="1" t="str">
        <f t="shared" si="10"/>
        <v>Valid</v>
      </c>
      <c r="N197">
        <v>9</v>
      </c>
      <c r="O197" s="1" t="str">
        <f t="shared" si="11"/>
        <v>Valid</v>
      </c>
      <c r="P197" t="s">
        <v>12</v>
      </c>
      <c r="Q197" s="1" t="str">
        <v>Education</v>
      </c>
      <c r="R197">
        <v>2</v>
      </c>
      <c r="S197" s="2" t="s">
        <v>35</v>
      </c>
    </row>
    <row r="198" spans="1:19" x14ac:dyDescent="0.35">
      <c r="A198">
        <v>28</v>
      </c>
      <c r="B198" s="2" t="s">
        <v>38</v>
      </c>
      <c r="C198" t="s">
        <v>20</v>
      </c>
      <c r="D198" s="1" t="str">
        <v>Female</v>
      </c>
      <c r="E198">
        <v>2</v>
      </c>
      <c r="F198" t="s">
        <v>21</v>
      </c>
      <c r="G198" t="s">
        <v>24</v>
      </c>
      <c r="H198" t="s">
        <v>10</v>
      </c>
      <c r="I198">
        <v>1382</v>
      </c>
      <c r="J198" s="2" t="s">
        <v>41</v>
      </c>
      <c r="K198" s="1" t="str">
        <f t="shared" si="9"/>
        <v>Has Spaces</v>
      </c>
      <c r="L198" s="1" t="b">
        <v>1</v>
      </c>
      <c r="M198" s="1" t="str">
        <f t="shared" si="10"/>
        <v>Valid</v>
      </c>
      <c r="N198">
        <v>6</v>
      </c>
      <c r="O198" s="1" t="str">
        <f t="shared" si="11"/>
        <v>Valid</v>
      </c>
      <c r="P198" t="s">
        <v>11</v>
      </c>
      <c r="Q198" s="1" t="str">
        <v>Radio/Tv</v>
      </c>
      <c r="R198">
        <v>1</v>
      </c>
      <c r="S198" s="2" t="s">
        <v>34</v>
      </c>
    </row>
    <row r="199" spans="1:19" x14ac:dyDescent="0.35">
      <c r="A199">
        <v>27</v>
      </c>
      <c r="B199" s="2" t="s">
        <v>38</v>
      </c>
      <c r="C199" t="s">
        <v>20</v>
      </c>
      <c r="D199" s="1" t="str">
        <v>Female</v>
      </c>
      <c r="E199">
        <v>2</v>
      </c>
      <c r="F199" t="s">
        <v>23</v>
      </c>
      <c r="G199" t="s">
        <v>27</v>
      </c>
      <c r="H199" t="s">
        <v>27</v>
      </c>
      <c r="I199">
        <v>951</v>
      </c>
      <c r="J199" s="2" t="s">
        <v>41</v>
      </c>
      <c r="K199" s="1" t="str">
        <f t="shared" si="9"/>
        <v>Has Spaces</v>
      </c>
      <c r="L199" s="1" t="b">
        <v>1</v>
      </c>
      <c r="M199" s="1" t="str">
        <f t="shared" si="10"/>
        <v>Valid</v>
      </c>
      <c r="N199">
        <v>12</v>
      </c>
      <c r="O199" s="1" t="str">
        <f t="shared" si="11"/>
        <v>Valid</v>
      </c>
      <c r="P199" t="s">
        <v>13</v>
      </c>
      <c r="Q199" s="1" t="str">
        <v>Furniture/Equipment</v>
      </c>
      <c r="R199">
        <v>2</v>
      </c>
      <c r="S199" s="2" t="s">
        <v>35</v>
      </c>
    </row>
    <row r="200" spans="1:19" x14ac:dyDescent="0.35">
      <c r="A200">
        <v>36</v>
      </c>
      <c r="B200" s="2" t="s">
        <v>39</v>
      </c>
      <c r="C200" t="s">
        <v>19</v>
      </c>
      <c r="D200" s="1" t="str">
        <v>Male</v>
      </c>
      <c r="E200">
        <v>2</v>
      </c>
      <c r="F200" t="s">
        <v>22</v>
      </c>
      <c r="G200" t="s">
        <v>10</v>
      </c>
      <c r="H200" t="s">
        <v>27</v>
      </c>
      <c r="I200">
        <v>2760</v>
      </c>
      <c r="J200" s="2" t="s">
        <v>43</v>
      </c>
      <c r="K200" s="1" t="str">
        <f t="shared" si="9"/>
        <v>Clean</v>
      </c>
      <c r="L200" s="1" t="b">
        <v>1</v>
      </c>
      <c r="M200" s="1" t="str">
        <f t="shared" si="10"/>
        <v>Valid</v>
      </c>
      <c r="N200">
        <v>24</v>
      </c>
      <c r="O200" s="1" t="str">
        <f t="shared" si="11"/>
        <v>Valid</v>
      </c>
      <c r="P200" t="s">
        <v>14</v>
      </c>
      <c r="Q200" s="1" t="str">
        <v>Car</v>
      </c>
      <c r="R200">
        <v>1</v>
      </c>
      <c r="S200" s="2" t="s">
        <v>34</v>
      </c>
    </row>
    <row r="201" spans="1:19" x14ac:dyDescent="0.35">
      <c r="A201">
        <v>40</v>
      </c>
      <c r="B201" s="2" t="s">
        <v>39</v>
      </c>
      <c r="C201" t="s">
        <v>19</v>
      </c>
      <c r="D201" s="1" t="str">
        <v>Male</v>
      </c>
      <c r="E201">
        <v>3</v>
      </c>
      <c r="F201" t="s">
        <v>21</v>
      </c>
      <c r="G201" t="s">
        <v>24</v>
      </c>
      <c r="H201" t="s">
        <v>27</v>
      </c>
      <c r="I201">
        <v>4297</v>
      </c>
      <c r="J201" s="2" t="s">
        <v>43</v>
      </c>
      <c r="K201" s="1" t="str">
        <f t="shared" si="9"/>
        <v>Clean</v>
      </c>
      <c r="L201" s="1" t="b">
        <v>1</v>
      </c>
      <c r="M201" s="1" t="str">
        <f t="shared" si="10"/>
        <v>Valid</v>
      </c>
      <c r="N201">
        <v>18</v>
      </c>
      <c r="O201" s="1" t="str">
        <f t="shared" si="11"/>
        <v>Valid</v>
      </c>
      <c r="P201" t="s">
        <v>13</v>
      </c>
      <c r="Q201" s="1" t="str">
        <v>Furniture/Equipment</v>
      </c>
      <c r="R201">
        <v>2</v>
      </c>
      <c r="S201" s="2" t="s">
        <v>35</v>
      </c>
    </row>
    <row r="202" spans="1:19" x14ac:dyDescent="0.35">
      <c r="A202">
        <v>52</v>
      </c>
      <c r="B202" s="2" t="s">
        <v>37</v>
      </c>
      <c r="C202" t="s">
        <v>19</v>
      </c>
      <c r="D202" s="1" t="str">
        <v>Male</v>
      </c>
      <c r="E202">
        <v>2</v>
      </c>
      <c r="F202" t="s">
        <v>21</v>
      </c>
      <c r="G202" t="s">
        <v>25</v>
      </c>
      <c r="H202" t="s">
        <v>10</v>
      </c>
      <c r="I202">
        <v>936</v>
      </c>
      <c r="J202" s="2" t="s">
        <v>41</v>
      </c>
      <c r="K202" s="1" t="str">
        <f t="shared" si="9"/>
        <v>Has Spaces</v>
      </c>
      <c r="L202" s="1" t="b">
        <v>1</v>
      </c>
      <c r="M202" s="1" t="str">
        <f t="shared" si="10"/>
        <v>Valid</v>
      </c>
      <c r="N202">
        <v>9</v>
      </c>
      <c r="O202" s="1" t="str">
        <f t="shared" si="11"/>
        <v>Valid</v>
      </c>
      <c r="P202" t="s">
        <v>12</v>
      </c>
      <c r="Q202" s="1" t="str">
        <v>Education</v>
      </c>
      <c r="R202">
        <v>1</v>
      </c>
      <c r="S202" s="2" t="s">
        <v>34</v>
      </c>
    </row>
    <row r="203" spans="1:19" x14ac:dyDescent="0.35">
      <c r="A203">
        <v>27</v>
      </c>
      <c r="B203" s="2" t="s">
        <v>38</v>
      </c>
      <c r="C203" t="s">
        <v>19</v>
      </c>
      <c r="D203" s="1" t="str">
        <v>Male</v>
      </c>
      <c r="E203">
        <v>1</v>
      </c>
      <c r="F203" t="s">
        <v>21</v>
      </c>
      <c r="G203" t="s">
        <v>24</v>
      </c>
      <c r="H203" t="s">
        <v>24</v>
      </c>
      <c r="I203">
        <v>1168</v>
      </c>
      <c r="J203" s="2" t="s">
        <v>41</v>
      </c>
      <c r="K203" s="1" t="str">
        <f t="shared" si="9"/>
        <v>Has Spaces</v>
      </c>
      <c r="L203" s="1" t="b">
        <v>1</v>
      </c>
      <c r="M203" s="1" t="str">
        <f t="shared" si="10"/>
        <v>Valid</v>
      </c>
      <c r="N203">
        <v>12</v>
      </c>
      <c r="O203" s="1" t="str">
        <f t="shared" si="11"/>
        <v>Valid</v>
      </c>
      <c r="P203" t="s">
        <v>14</v>
      </c>
      <c r="Q203" s="1" t="str">
        <v>Car</v>
      </c>
      <c r="R203">
        <v>1</v>
      </c>
      <c r="S203" s="2" t="s">
        <v>34</v>
      </c>
    </row>
    <row r="204" spans="1:19" x14ac:dyDescent="0.35">
      <c r="A204">
        <v>26</v>
      </c>
      <c r="B204" s="2" t="s">
        <v>38</v>
      </c>
      <c r="C204" t="s">
        <v>19</v>
      </c>
      <c r="D204" s="1" t="str">
        <v>Male</v>
      </c>
      <c r="E204">
        <v>2</v>
      </c>
      <c r="F204" t="s">
        <v>21</v>
      </c>
      <c r="G204" t="s">
        <v>24</v>
      </c>
      <c r="H204" t="s">
        <v>10</v>
      </c>
      <c r="I204">
        <v>5117</v>
      </c>
      <c r="J204" s="2" t="s">
        <v>42</v>
      </c>
      <c r="K204" s="1" t="str">
        <f t="shared" si="9"/>
        <v>Clean</v>
      </c>
      <c r="L204" s="1" t="b">
        <v>1</v>
      </c>
      <c r="M204" s="1" t="str">
        <f t="shared" si="10"/>
        <v>Valid</v>
      </c>
      <c r="N204">
        <v>27</v>
      </c>
      <c r="O204" s="1" t="str">
        <f t="shared" si="11"/>
        <v>Valid</v>
      </c>
      <c r="P204" t="s">
        <v>15</v>
      </c>
      <c r="Q204" s="1" t="str">
        <v>Business</v>
      </c>
      <c r="R204">
        <v>1</v>
      </c>
      <c r="S204" s="2" t="s">
        <v>34</v>
      </c>
    </row>
    <row r="205" spans="1:19" x14ac:dyDescent="0.35">
      <c r="A205">
        <v>21</v>
      </c>
      <c r="B205" s="2" t="s">
        <v>38</v>
      </c>
      <c r="C205" t="s">
        <v>19</v>
      </c>
      <c r="D205" s="1" t="str">
        <v>Male</v>
      </c>
      <c r="E205">
        <v>2</v>
      </c>
      <c r="F205" t="s">
        <v>23</v>
      </c>
      <c r="G205" t="s">
        <v>24</v>
      </c>
      <c r="H205" t="s">
        <v>24</v>
      </c>
      <c r="I205">
        <v>902</v>
      </c>
      <c r="J205" s="2" t="s">
        <v>41</v>
      </c>
      <c r="K205" s="1" t="str">
        <f t="shared" si="9"/>
        <v>Has Spaces</v>
      </c>
      <c r="L205" s="1" t="b">
        <v>1</v>
      </c>
      <c r="M205" s="1" t="str">
        <f t="shared" si="10"/>
        <v>Valid</v>
      </c>
      <c r="N205">
        <v>12</v>
      </c>
      <c r="O205" s="1" t="str">
        <f t="shared" si="11"/>
        <v>Valid</v>
      </c>
      <c r="P205" t="s">
        <v>12</v>
      </c>
      <c r="Q205" s="1" t="str">
        <v>Education</v>
      </c>
      <c r="R205">
        <v>2</v>
      </c>
      <c r="S205" s="2" t="s">
        <v>35</v>
      </c>
    </row>
    <row r="206" spans="1:19" x14ac:dyDescent="0.35">
      <c r="A206">
        <v>38</v>
      </c>
      <c r="B206" s="2" t="s">
        <v>39</v>
      </c>
      <c r="C206" t="s">
        <v>19</v>
      </c>
      <c r="D206" s="1" t="str">
        <v>Male</v>
      </c>
      <c r="E206">
        <v>1</v>
      </c>
      <c r="F206" t="s">
        <v>21</v>
      </c>
      <c r="G206" t="s">
        <v>24</v>
      </c>
      <c r="H206" t="s">
        <v>10</v>
      </c>
      <c r="I206">
        <v>1495</v>
      </c>
      <c r="J206" s="2" t="s">
        <v>41</v>
      </c>
      <c r="K206" s="1" t="str">
        <f t="shared" si="9"/>
        <v>Has Spaces</v>
      </c>
      <c r="L206" s="1" t="b">
        <v>1</v>
      </c>
      <c r="M206" s="1" t="str">
        <f t="shared" si="10"/>
        <v>Valid</v>
      </c>
      <c r="N206">
        <v>12</v>
      </c>
      <c r="O206" s="1" t="str">
        <f t="shared" si="11"/>
        <v>Valid</v>
      </c>
      <c r="P206" t="s">
        <v>14</v>
      </c>
      <c r="Q206" s="1" t="str">
        <v>Car</v>
      </c>
      <c r="R206">
        <v>1</v>
      </c>
      <c r="S206" s="2" t="s">
        <v>34</v>
      </c>
    </row>
    <row r="207" spans="1:19" x14ac:dyDescent="0.35">
      <c r="A207">
        <v>38</v>
      </c>
      <c r="B207" s="2" t="s">
        <v>39</v>
      </c>
      <c r="C207" t="s">
        <v>19</v>
      </c>
      <c r="D207" s="1" t="str">
        <v>Male</v>
      </c>
      <c r="E207">
        <v>3</v>
      </c>
      <c r="F207" t="s">
        <v>22</v>
      </c>
      <c r="G207" t="s">
        <v>24</v>
      </c>
      <c r="H207" t="s">
        <v>24</v>
      </c>
      <c r="I207">
        <v>10623</v>
      </c>
      <c r="J207" s="2" t="s">
        <v>42</v>
      </c>
      <c r="K207" s="1" t="str">
        <f t="shared" si="9"/>
        <v>Clean</v>
      </c>
      <c r="L207" s="1" t="b">
        <v>1</v>
      </c>
      <c r="M207" s="1" t="str">
        <f t="shared" si="10"/>
        <v>Valid</v>
      </c>
      <c r="N207">
        <v>30</v>
      </c>
      <c r="O207" s="1" t="str">
        <f t="shared" si="11"/>
        <v>Valid</v>
      </c>
      <c r="P207" t="s">
        <v>14</v>
      </c>
      <c r="Q207" s="1" t="str">
        <v>Car</v>
      </c>
      <c r="R207">
        <v>1</v>
      </c>
      <c r="S207" s="2" t="s">
        <v>34</v>
      </c>
    </row>
    <row r="208" spans="1:19" x14ac:dyDescent="0.35">
      <c r="A208">
        <v>43</v>
      </c>
      <c r="B208" s="2" t="s">
        <v>39</v>
      </c>
      <c r="C208" t="s">
        <v>19</v>
      </c>
      <c r="D208" s="1" t="str">
        <v>Male</v>
      </c>
      <c r="E208">
        <v>2</v>
      </c>
      <c r="F208" t="s">
        <v>21</v>
      </c>
      <c r="G208" t="s">
        <v>24</v>
      </c>
      <c r="H208" t="s">
        <v>10</v>
      </c>
      <c r="I208">
        <v>1935</v>
      </c>
      <c r="J208" s="2" t="s">
        <v>41</v>
      </c>
      <c r="K208" s="1" t="str">
        <f t="shared" si="9"/>
        <v>Has Spaces</v>
      </c>
      <c r="L208" s="1" t="b">
        <v>1</v>
      </c>
      <c r="M208" s="1" t="str">
        <f t="shared" si="10"/>
        <v>Valid</v>
      </c>
      <c r="N208">
        <v>12</v>
      </c>
      <c r="O208" s="1" t="str">
        <f t="shared" si="11"/>
        <v>Valid</v>
      </c>
      <c r="P208" t="s">
        <v>13</v>
      </c>
      <c r="Q208" s="1" t="str">
        <v>Furniture/Equipment</v>
      </c>
      <c r="R208">
        <v>1</v>
      </c>
      <c r="S208" s="2" t="s">
        <v>34</v>
      </c>
    </row>
    <row r="209" spans="1:19" x14ac:dyDescent="0.35">
      <c r="A209">
        <v>26</v>
      </c>
      <c r="B209" s="2" t="s">
        <v>38</v>
      </c>
      <c r="C209" t="s">
        <v>19</v>
      </c>
      <c r="D209" s="1" t="str">
        <v>Male</v>
      </c>
      <c r="E209">
        <v>2</v>
      </c>
      <c r="F209" t="s">
        <v>21</v>
      </c>
      <c r="G209" t="s">
        <v>24</v>
      </c>
      <c r="H209" t="s">
        <v>27</v>
      </c>
      <c r="I209">
        <v>1424</v>
      </c>
      <c r="J209" s="2" t="s">
        <v>41</v>
      </c>
      <c r="K209" s="1" t="str">
        <f t="shared" si="9"/>
        <v>Has Spaces</v>
      </c>
      <c r="L209" s="1" t="b">
        <v>1</v>
      </c>
      <c r="M209" s="1" t="str">
        <f t="shared" si="10"/>
        <v>Valid</v>
      </c>
      <c r="N209">
        <v>12</v>
      </c>
      <c r="O209" s="1" t="str">
        <f t="shared" si="11"/>
        <v>Valid</v>
      </c>
      <c r="P209" t="s">
        <v>16</v>
      </c>
      <c r="Q209" s="1" t="str">
        <v>Domestic Appliances</v>
      </c>
      <c r="R209">
        <v>1</v>
      </c>
      <c r="S209" s="2" t="s">
        <v>34</v>
      </c>
    </row>
    <row r="210" spans="1:19" x14ac:dyDescent="0.35">
      <c r="A210">
        <v>21</v>
      </c>
      <c r="B210" s="2" t="s">
        <v>38</v>
      </c>
      <c r="C210" t="s">
        <v>19</v>
      </c>
      <c r="D210" s="1" t="str">
        <v>Male</v>
      </c>
      <c r="E210">
        <v>1</v>
      </c>
      <c r="F210" t="s">
        <v>21</v>
      </c>
      <c r="G210" t="s">
        <v>24</v>
      </c>
      <c r="H210" t="s">
        <v>24</v>
      </c>
      <c r="I210">
        <v>6568</v>
      </c>
      <c r="J210" s="2" t="s">
        <v>42</v>
      </c>
      <c r="K210" s="1" t="str">
        <f t="shared" si="9"/>
        <v>Clean</v>
      </c>
      <c r="L210" s="1" t="b">
        <v>1</v>
      </c>
      <c r="M210" s="1" t="str">
        <f t="shared" si="10"/>
        <v>Valid</v>
      </c>
      <c r="N210">
        <v>24</v>
      </c>
      <c r="O210" s="1" t="str">
        <f t="shared" si="11"/>
        <v>Valid</v>
      </c>
      <c r="P210" t="s">
        <v>15</v>
      </c>
      <c r="Q210" s="1" t="str">
        <v>Business</v>
      </c>
      <c r="R210">
        <v>1</v>
      </c>
      <c r="S210" s="2" t="s">
        <v>34</v>
      </c>
    </row>
    <row r="211" spans="1:19" x14ac:dyDescent="0.35">
      <c r="A211">
        <v>55</v>
      </c>
      <c r="B211" s="2" t="s">
        <v>37</v>
      </c>
      <c r="C211" t="s">
        <v>19</v>
      </c>
      <c r="D211" s="1" t="str">
        <v>Male</v>
      </c>
      <c r="E211">
        <v>2</v>
      </c>
      <c r="F211" t="s">
        <v>21</v>
      </c>
      <c r="G211" t="s">
        <v>26</v>
      </c>
      <c r="H211" t="s">
        <v>10</v>
      </c>
      <c r="I211">
        <v>1413</v>
      </c>
      <c r="J211" s="2" t="s">
        <v>41</v>
      </c>
      <c r="K211" s="1" t="str">
        <f t="shared" si="9"/>
        <v>Has Spaces</v>
      </c>
      <c r="L211" s="1" t="b">
        <v>1</v>
      </c>
      <c r="M211" s="1" t="str">
        <f t="shared" si="10"/>
        <v>Valid</v>
      </c>
      <c r="N211">
        <v>12</v>
      </c>
      <c r="O211" s="1" t="str">
        <f t="shared" si="11"/>
        <v>Valid</v>
      </c>
      <c r="P211" t="s">
        <v>14</v>
      </c>
      <c r="Q211" s="1" t="str">
        <v>Car</v>
      </c>
      <c r="R211">
        <v>1</v>
      </c>
      <c r="S211" s="2" t="s">
        <v>34</v>
      </c>
    </row>
    <row r="212" spans="1:19" x14ac:dyDescent="0.35">
      <c r="A212">
        <v>33</v>
      </c>
      <c r="B212" s="2" t="s">
        <v>39</v>
      </c>
      <c r="C212" t="s">
        <v>19</v>
      </c>
      <c r="D212" s="1" t="str">
        <v>Male</v>
      </c>
      <c r="E212">
        <v>2</v>
      </c>
      <c r="F212" t="s">
        <v>21</v>
      </c>
      <c r="G212" t="s">
        <v>10</v>
      </c>
      <c r="H212" t="s">
        <v>10</v>
      </c>
      <c r="I212">
        <v>3074</v>
      </c>
      <c r="J212" s="2" t="s">
        <v>43</v>
      </c>
      <c r="K212" s="1" t="str">
        <f t="shared" si="9"/>
        <v>Clean</v>
      </c>
      <c r="L212" s="1" t="b">
        <v>1</v>
      </c>
      <c r="M212" s="1" t="str">
        <f t="shared" si="10"/>
        <v>Valid</v>
      </c>
      <c r="N212">
        <v>9</v>
      </c>
      <c r="O212" s="1" t="str">
        <f t="shared" si="11"/>
        <v>Valid</v>
      </c>
      <c r="P212" t="s">
        <v>11</v>
      </c>
      <c r="Q212" s="1" t="str">
        <v>Radio/Tv</v>
      </c>
      <c r="R212">
        <v>1</v>
      </c>
      <c r="S212" s="2" t="s">
        <v>34</v>
      </c>
    </row>
    <row r="213" spans="1:19" x14ac:dyDescent="0.35">
      <c r="A213">
        <v>45</v>
      </c>
      <c r="B213" s="2" t="s">
        <v>39</v>
      </c>
      <c r="C213" t="s">
        <v>20</v>
      </c>
      <c r="D213" s="1" t="str">
        <v>Female</v>
      </c>
      <c r="E213">
        <v>1</v>
      </c>
      <c r="F213" t="s">
        <v>21</v>
      </c>
      <c r="G213" t="s">
        <v>10</v>
      </c>
      <c r="H213" t="s">
        <v>10</v>
      </c>
      <c r="I213">
        <v>3835</v>
      </c>
      <c r="J213" s="2" t="s">
        <v>43</v>
      </c>
      <c r="K213" s="1" t="str">
        <f t="shared" si="9"/>
        <v>Clean</v>
      </c>
      <c r="L213" s="1" t="b">
        <v>1</v>
      </c>
      <c r="M213" s="1" t="str">
        <f t="shared" si="10"/>
        <v>Valid</v>
      </c>
      <c r="N213">
        <v>36</v>
      </c>
      <c r="O213" s="1" t="str">
        <f t="shared" si="11"/>
        <v>Valid</v>
      </c>
      <c r="P213" t="s">
        <v>11</v>
      </c>
      <c r="Q213" s="1" t="str">
        <v>Radio/Tv</v>
      </c>
      <c r="R213">
        <v>1</v>
      </c>
      <c r="S213" s="2" t="s">
        <v>34</v>
      </c>
    </row>
    <row r="214" spans="1:19" x14ac:dyDescent="0.35">
      <c r="A214">
        <v>50</v>
      </c>
      <c r="B214" s="2" t="s">
        <v>37</v>
      </c>
      <c r="C214" t="s">
        <v>19</v>
      </c>
      <c r="D214" s="1" t="str">
        <v>Male</v>
      </c>
      <c r="E214">
        <v>2</v>
      </c>
      <c r="F214" t="s">
        <v>21</v>
      </c>
      <c r="G214" t="s">
        <v>24</v>
      </c>
      <c r="H214" t="s">
        <v>24</v>
      </c>
      <c r="I214">
        <v>5293</v>
      </c>
      <c r="J214" s="2" t="s">
        <v>42</v>
      </c>
      <c r="K214" s="1" t="str">
        <f t="shared" si="9"/>
        <v>Clean</v>
      </c>
      <c r="L214" s="1" t="b">
        <v>1</v>
      </c>
      <c r="M214" s="1" t="str">
        <f t="shared" si="10"/>
        <v>Valid</v>
      </c>
      <c r="N214">
        <v>27</v>
      </c>
      <c r="O214" s="1" t="str">
        <f t="shared" si="11"/>
        <v>Valid</v>
      </c>
      <c r="P214" t="s">
        <v>15</v>
      </c>
      <c r="Q214" s="1" t="str">
        <v>Business</v>
      </c>
      <c r="R214">
        <v>2</v>
      </c>
      <c r="S214" s="2" t="s">
        <v>35</v>
      </c>
    </row>
    <row r="215" spans="1:19" x14ac:dyDescent="0.35">
      <c r="A215">
        <v>66</v>
      </c>
      <c r="B215" s="2" t="s">
        <v>37</v>
      </c>
      <c r="C215" t="s">
        <v>19</v>
      </c>
      <c r="D215" s="1" t="str">
        <v>Male</v>
      </c>
      <c r="E215">
        <v>3</v>
      </c>
      <c r="F215" t="s">
        <v>21</v>
      </c>
      <c r="G215" t="s">
        <v>24</v>
      </c>
      <c r="H215" t="s">
        <v>26</v>
      </c>
      <c r="I215">
        <v>1908</v>
      </c>
      <c r="J215" s="2" t="s">
        <v>41</v>
      </c>
      <c r="K215" s="1" t="str">
        <f t="shared" si="9"/>
        <v>Has Spaces</v>
      </c>
      <c r="L215" s="1" t="b">
        <v>1</v>
      </c>
      <c r="M215" s="1" t="str">
        <f t="shared" si="10"/>
        <v>Valid</v>
      </c>
      <c r="N215">
        <v>30</v>
      </c>
      <c r="O215" s="1" t="str">
        <f t="shared" si="11"/>
        <v>Valid</v>
      </c>
      <c r="P215" t="s">
        <v>15</v>
      </c>
      <c r="Q215" s="1" t="str">
        <v>Business</v>
      </c>
      <c r="R215">
        <v>2</v>
      </c>
      <c r="S215" s="2" t="s">
        <v>35</v>
      </c>
    </row>
    <row r="216" spans="1:19" x14ac:dyDescent="0.35">
      <c r="A216">
        <v>51</v>
      </c>
      <c r="B216" s="2" t="s">
        <v>37</v>
      </c>
      <c r="C216" t="s">
        <v>19</v>
      </c>
      <c r="D216" s="1" t="str">
        <v>Male</v>
      </c>
      <c r="E216">
        <v>2</v>
      </c>
      <c r="F216" t="s">
        <v>21</v>
      </c>
      <c r="G216" t="s">
        <v>10</v>
      </c>
      <c r="H216" t="s">
        <v>10</v>
      </c>
      <c r="I216">
        <v>3342</v>
      </c>
      <c r="J216" s="2" t="s">
        <v>43</v>
      </c>
      <c r="K216" s="1" t="str">
        <f t="shared" si="9"/>
        <v>Clean</v>
      </c>
      <c r="L216" s="1" t="b">
        <v>1</v>
      </c>
      <c r="M216" s="1" t="str">
        <f t="shared" si="10"/>
        <v>Valid</v>
      </c>
      <c r="N216">
        <v>36</v>
      </c>
      <c r="O216" s="1" t="str">
        <f t="shared" si="11"/>
        <v>Valid</v>
      </c>
      <c r="P216" t="s">
        <v>11</v>
      </c>
      <c r="Q216" s="1" t="str">
        <v>Radio/Tv</v>
      </c>
      <c r="R216">
        <v>1</v>
      </c>
      <c r="S216" s="2" t="s">
        <v>34</v>
      </c>
    </row>
    <row r="217" spans="1:19" x14ac:dyDescent="0.35">
      <c r="A217">
        <v>39</v>
      </c>
      <c r="B217" s="2" t="s">
        <v>39</v>
      </c>
      <c r="C217" t="s">
        <v>20</v>
      </c>
      <c r="D217" s="1" t="str">
        <v>Female</v>
      </c>
      <c r="E217">
        <v>1</v>
      </c>
      <c r="F217" t="s">
        <v>21</v>
      </c>
      <c r="G217" t="s">
        <v>10</v>
      </c>
      <c r="H217" t="s">
        <v>27</v>
      </c>
      <c r="I217">
        <v>932</v>
      </c>
      <c r="J217" s="2" t="s">
        <v>41</v>
      </c>
      <c r="K217" s="1" t="str">
        <f t="shared" si="9"/>
        <v>Has Spaces</v>
      </c>
      <c r="L217" s="1" t="b">
        <v>1</v>
      </c>
      <c r="M217" s="1" t="str">
        <f t="shared" si="10"/>
        <v>Valid</v>
      </c>
      <c r="N217">
        <v>6</v>
      </c>
      <c r="O217" s="1" t="str">
        <f t="shared" si="11"/>
        <v>Valid</v>
      </c>
      <c r="P217" t="s">
        <v>12</v>
      </c>
      <c r="Q217" s="1" t="str">
        <v>Education</v>
      </c>
      <c r="R217">
        <v>1</v>
      </c>
      <c r="S217" s="2" t="s">
        <v>34</v>
      </c>
    </row>
    <row r="218" spans="1:19" x14ac:dyDescent="0.35">
      <c r="A218">
        <v>31</v>
      </c>
      <c r="B218" s="2" t="s">
        <v>39</v>
      </c>
      <c r="C218" t="s">
        <v>19</v>
      </c>
      <c r="D218" s="1" t="str">
        <v>Male</v>
      </c>
      <c r="E218">
        <v>2</v>
      </c>
      <c r="F218" t="s">
        <v>21</v>
      </c>
      <c r="G218" t="s">
        <v>24</v>
      </c>
      <c r="H218" t="s">
        <v>24</v>
      </c>
      <c r="I218">
        <v>3104</v>
      </c>
      <c r="J218" s="2" t="s">
        <v>43</v>
      </c>
      <c r="K218" s="1" t="str">
        <f t="shared" si="9"/>
        <v>Clean</v>
      </c>
      <c r="L218" s="1" t="b">
        <v>1</v>
      </c>
      <c r="M218" s="1" t="str">
        <f t="shared" si="10"/>
        <v>Valid</v>
      </c>
      <c r="N218">
        <v>18</v>
      </c>
      <c r="O218" s="1" t="str">
        <f t="shared" si="11"/>
        <v>Valid</v>
      </c>
      <c r="P218" t="s">
        <v>15</v>
      </c>
      <c r="Q218" s="1" t="str">
        <v>Business</v>
      </c>
      <c r="R218">
        <v>1</v>
      </c>
      <c r="S218" s="2" t="s">
        <v>34</v>
      </c>
    </row>
    <row r="219" spans="1:19" x14ac:dyDescent="0.35">
      <c r="A219">
        <v>23</v>
      </c>
      <c r="B219" s="2" t="s">
        <v>38</v>
      </c>
      <c r="C219" t="s">
        <v>19</v>
      </c>
      <c r="D219" s="1" t="str">
        <v>Male</v>
      </c>
      <c r="E219">
        <v>2</v>
      </c>
      <c r="F219" t="s">
        <v>21</v>
      </c>
      <c r="G219" t="s">
        <v>24</v>
      </c>
      <c r="H219" t="s">
        <v>26</v>
      </c>
      <c r="I219">
        <v>3913</v>
      </c>
      <c r="J219" s="2" t="s">
        <v>43</v>
      </c>
      <c r="K219" s="1" t="str">
        <f t="shared" si="9"/>
        <v>Clean</v>
      </c>
      <c r="L219" s="1" t="b">
        <v>1</v>
      </c>
      <c r="M219" s="1" t="str">
        <f t="shared" si="10"/>
        <v>Valid</v>
      </c>
      <c r="N219">
        <v>36</v>
      </c>
      <c r="O219" s="1" t="str">
        <f t="shared" si="11"/>
        <v>Valid</v>
      </c>
      <c r="P219" t="s">
        <v>11</v>
      </c>
      <c r="Q219" s="1" t="str">
        <v>Radio/Tv</v>
      </c>
      <c r="R219">
        <v>1</v>
      </c>
      <c r="S219" s="2" t="s">
        <v>34</v>
      </c>
    </row>
    <row r="220" spans="1:19" x14ac:dyDescent="0.35">
      <c r="A220">
        <v>24</v>
      </c>
      <c r="B220" s="2" t="s">
        <v>38</v>
      </c>
      <c r="C220" t="s">
        <v>19</v>
      </c>
      <c r="D220" s="1" t="str">
        <v>Male</v>
      </c>
      <c r="E220">
        <v>1</v>
      </c>
      <c r="F220" t="s">
        <v>23</v>
      </c>
      <c r="G220" t="s">
        <v>24</v>
      </c>
      <c r="H220" t="s">
        <v>24</v>
      </c>
      <c r="I220">
        <v>3021</v>
      </c>
      <c r="J220" s="2" t="s">
        <v>43</v>
      </c>
      <c r="K220" s="1" t="str">
        <f t="shared" si="9"/>
        <v>Clean</v>
      </c>
      <c r="L220" s="1" t="b">
        <v>1</v>
      </c>
      <c r="M220" s="1" t="str">
        <f t="shared" si="10"/>
        <v>Valid</v>
      </c>
      <c r="N220">
        <v>24</v>
      </c>
      <c r="O220" s="1" t="str">
        <f t="shared" si="11"/>
        <v>Valid</v>
      </c>
      <c r="P220" t="s">
        <v>13</v>
      </c>
      <c r="Q220" s="1" t="str">
        <v>Furniture/Equipment</v>
      </c>
      <c r="R220">
        <v>1</v>
      </c>
      <c r="S220" s="2" t="s">
        <v>34</v>
      </c>
    </row>
    <row r="221" spans="1:19" x14ac:dyDescent="0.35">
      <c r="A221">
        <v>64</v>
      </c>
      <c r="B221" s="2" t="s">
        <v>37</v>
      </c>
      <c r="C221" t="s">
        <v>20</v>
      </c>
      <c r="D221" s="1" t="str">
        <v>Female</v>
      </c>
      <c r="E221">
        <v>2</v>
      </c>
      <c r="F221" t="s">
        <v>21</v>
      </c>
      <c r="G221" t="s">
        <v>24</v>
      </c>
      <c r="H221" t="s">
        <v>10</v>
      </c>
      <c r="I221">
        <v>1364</v>
      </c>
      <c r="J221" s="2" t="s">
        <v>41</v>
      </c>
      <c r="K221" s="1" t="str">
        <f t="shared" si="9"/>
        <v>Has Spaces</v>
      </c>
      <c r="L221" s="1" t="b">
        <v>1</v>
      </c>
      <c r="M221" s="1" t="str">
        <f t="shared" si="10"/>
        <v>Valid</v>
      </c>
      <c r="N221">
        <v>10</v>
      </c>
      <c r="O221" s="1" t="str">
        <f t="shared" si="11"/>
        <v>Valid</v>
      </c>
      <c r="P221" t="s">
        <v>14</v>
      </c>
      <c r="Q221" s="1" t="str">
        <v>Car</v>
      </c>
      <c r="R221">
        <v>1</v>
      </c>
      <c r="S221" s="2" t="s">
        <v>34</v>
      </c>
    </row>
    <row r="222" spans="1:19" x14ac:dyDescent="0.35">
      <c r="A222">
        <v>26</v>
      </c>
      <c r="B222" s="2" t="s">
        <v>38</v>
      </c>
      <c r="C222" t="s">
        <v>19</v>
      </c>
      <c r="D222" s="1" t="str">
        <v>Male</v>
      </c>
      <c r="E222">
        <v>1</v>
      </c>
      <c r="F222" t="s">
        <v>21</v>
      </c>
      <c r="G222" t="s">
        <v>24</v>
      </c>
      <c r="H222" t="s">
        <v>27</v>
      </c>
      <c r="I222">
        <v>625</v>
      </c>
      <c r="J222" s="2" t="s">
        <v>41</v>
      </c>
      <c r="K222" s="1" t="str">
        <f t="shared" si="9"/>
        <v>Has Spaces</v>
      </c>
      <c r="L222" s="1" t="b">
        <v>1</v>
      </c>
      <c r="M222" s="1" t="str">
        <f t="shared" si="10"/>
        <v>Valid</v>
      </c>
      <c r="N222">
        <v>12</v>
      </c>
      <c r="O222" s="1" t="str">
        <f t="shared" si="11"/>
        <v>Valid</v>
      </c>
      <c r="P222" t="s">
        <v>11</v>
      </c>
      <c r="Q222" s="1" t="str">
        <v>Radio/Tv</v>
      </c>
      <c r="R222">
        <v>1</v>
      </c>
      <c r="S222" s="2" t="s">
        <v>34</v>
      </c>
    </row>
    <row r="223" spans="1:19" x14ac:dyDescent="0.35">
      <c r="A223">
        <v>23</v>
      </c>
      <c r="B223" s="2" t="s">
        <v>38</v>
      </c>
      <c r="C223" t="s">
        <v>20</v>
      </c>
      <c r="D223" s="1" t="str">
        <v>Female</v>
      </c>
      <c r="E223">
        <v>2</v>
      </c>
      <c r="F223" t="s">
        <v>23</v>
      </c>
      <c r="G223" t="s">
        <v>10</v>
      </c>
      <c r="H223" t="s">
        <v>24</v>
      </c>
      <c r="I223">
        <v>1200</v>
      </c>
      <c r="J223" s="2" t="s">
        <v>41</v>
      </c>
      <c r="K223" s="1" t="str">
        <f t="shared" si="9"/>
        <v>Has Spaces</v>
      </c>
      <c r="L223" s="1" t="b">
        <v>1</v>
      </c>
      <c r="M223" s="1" t="str">
        <f t="shared" si="10"/>
        <v>Valid</v>
      </c>
      <c r="N223">
        <v>12</v>
      </c>
      <c r="O223" s="1" t="str">
        <f t="shared" si="11"/>
        <v>Valid</v>
      </c>
      <c r="P223" t="s">
        <v>12</v>
      </c>
      <c r="Q223" s="1" t="str">
        <v>Education</v>
      </c>
      <c r="R223">
        <v>1</v>
      </c>
      <c r="S223" s="2" t="s">
        <v>34</v>
      </c>
    </row>
    <row r="224" spans="1:19" x14ac:dyDescent="0.35">
      <c r="A224">
        <v>30</v>
      </c>
      <c r="B224" s="2" t="s">
        <v>39</v>
      </c>
      <c r="C224" t="s">
        <v>19</v>
      </c>
      <c r="D224" s="1" t="str">
        <v>Male</v>
      </c>
      <c r="E224">
        <v>2</v>
      </c>
      <c r="F224" t="s">
        <v>21</v>
      </c>
      <c r="G224" t="s">
        <v>24</v>
      </c>
      <c r="H224" t="s">
        <v>10</v>
      </c>
      <c r="I224">
        <v>707</v>
      </c>
      <c r="J224" s="2" t="s">
        <v>41</v>
      </c>
      <c r="K224" s="1" t="str">
        <f t="shared" si="9"/>
        <v>Has Spaces</v>
      </c>
      <c r="L224" s="1" t="b">
        <v>1</v>
      </c>
      <c r="M224" s="1" t="str">
        <f t="shared" si="10"/>
        <v>Valid</v>
      </c>
      <c r="N224">
        <v>12</v>
      </c>
      <c r="O224" s="1" t="str">
        <f t="shared" si="11"/>
        <v>Valid</v>
      </c>
      <c r="P224" t="s">
        <v>11</v>
      </c>
      <c r="Q224" s="1" t="str">
        <v>Radio/Tv</v>
      </c>
      <c r="R224">
        <v>1</v>
      </c>
      <c r="S224" s="2" t="s">
        <v>34</v>
      </c>
    </row>
    <row r="225" spans="1:19" x14ac:dyDescent="0.35">
      <c r="A225">
        <v>32</v>
      </c>
      <c r="B225" s="2" t="s">
        <v>39</v>
      </c>
      <c r="C225" t="s">
        <v>19</v>
      </c>
      <c r="D225" s="1" t="str">
        <v>Male</v>
      </c>
      <c r="E225">
        <v>2</v>
      </c>
      <c r="F225" t="s">
        <v>21</v>
      </c>
      <c r="G225" t="s">
        <v>10</v>
      </c>
      <c r="H225" t="s">
        <v>10</v>
      </c>
      <c r="I225">
        <v>2978</v>
      </c>
      <c r="J225" s="2" t="s">
        <v>43</v>
      </c>
      <c r="K225" s="1" t="str">
        <f t="shared" si="9"/>
        <v>Clean</v>
      </c>
      <c r="L225" s="1" t="b">
        <v>1</v>
      </c>
      <c r="M225" s="1" t="str">
        <f t="shared" si="10"/>
        <v>Valid</v>
      </c>
      <c r="N225">
        <v>24</v>
      </c>
      <c r="O225" s="1" t="str">
        <f t="shared" si="11"/>
        <v>Valid</v>
      </c>
      <c r="P225" t="s">
        <v>15</v>
      </c>
      <c r="Q225" s="1" t="str">
        <v>Business</v>
      </c>
      <c r="R225">
        <v>1</v>
      </c>
      <c r="S225" s="2" t="s">
        <v>34</v>
      </c>
    </row>
    <row r="226" spans="1:19" x14ac:dyDescent="0.35">
      <c r="A226">
        <v>30</v>
      </c>
      <c r="B226" s="2" t="s">
        <v>39</v>
      </c>
      <c r="C226" t="s">
        <v>19</v>
      </c>
      <c r="D226" s="1" t="str">
        <v>Male</v>
      </c>
      <c r="E226">
        <v>2</v>
      </c>
      <c r="F226" t="s">
        <v>21</v>
      </c>
      <c r="G226" t="s">
        <v>24</v>
      </c>
      <c r="H226" t="s">
        <v>10</v>
      </c>
      <c r="I226">
        <v>4657</v>
      </c>
      <c r="J226" s="2" t="s">
        <v>43</v>
      </c>
      <c r="K226" s="1" t="str">
        <f t="shared" si="9"/>
        <v>Clean</v>
      </c>
      <c r="L226" s="1" t="b">
        <v>1</v>
      </c>
      <c r="M226" s="1" t="str">
        <f t="shared" si="10"/>
        <v>Valid</v>
      </c>
      <c r="N226">
        <v>15</v>
      </c>
      <c r="O226" s="1" t="str">
        <f t="shared" si="11"/>
        <v>Valid</v>
      </c>
      <c r="P226" t="s">
        <v>14</v>
      </c>
      <c r="Q226" s="1" t="str">
        <v>Car</v>
      </c>
      <c r="R226">
        <v>1</v>
      </c>
      <c r="S226" s="2" t="s">
        <v>34</v>
      </c>
    </row>
    <row r="227" spans="1:19" x14ac:dyDescent="0.35">
      <c r="A227">
        <v>27</v>
      </c>
      <c r="B227" s="2" t="s">
        <v>38</v>
      </c>
      <c r="C227" t="s">
        <v>19</v>
      </c>
      <c r="D227" s="1" t="str">
        <v>Male</v>
      </c>
      <c r="E227">
        <v>2</v>
      </c>
      <c r="F227" t="s">
        <v>21</v>
      </c>
      <c r="G227" t="s">
        <v>24</v>
      </c>
      <c r="H227" t="s">
        <v>10</v>
      </c>
      <c r="I227">
        <v>2613</v>
      </c>
      <c r="J227" s="2" t="s">
        <v>43</v>
      </c>
      <c r="K227" s="1" t="str">
        <f t="shared" si="9"/>
        <v>Clean</v>
      </c>
      <c r="L227" s="1" t="b">
        <v>1</v>
      </c>
      <c r="M227" s="1" t="str">
        <f t="shared" si="10"/>
        <v>Valid</v>
      </c>
      <c r="N227">
        <v>36</v>
      </c>
      <c r="O227" s="1" t="str">
        <f t="shared" si="11"/>
        <v>Valid</v>
      </c>
      <c r="P227" t="s">
        <v>17</v>
      </c>
      <c r="Q227" s="1" t="str">
        <v>Repairs</v>
      </c>
      <c r="R227">
        <v>1</v>
      </c>
      <c r="S227" s="2" t="s">
        <v>34</v>
      </c>
    </row>
    <row r="228" spans="1:19" x14ac:dyDescent="0.35">
      <c r="A228">
        <v>27</v>
      </c>
      <c r="B228" s="2" t="s">
        <v>38</v>
      </c>
      <c r="C228" t="s">
        <v>19</v>
      </c>
      <c r="D228" s="1" t="str">
        <v>Male</v>
      </c>
      <c r="E228">
        <v>2</v>
      </c>
      <c r="F228" t="s">
        <v>21</v>
      </c>
      <c r="G228" t="s">
        <v>26</v>
      </c>
      <c r="H228" t="s">
        <v>27</v>
      </c>
      <c r="I228">
        <v>10961</v>
      </c>
      <c r="J228" s="2" t="s">
        <v>42</v>
      </c>
      <c r="K228" s="1" t="str">
        <f t="shared" si="9"/>
        <v>Clean</v>
      </c>
      <c r="L228" s="1" t="b">
        <v>1</v>
      </c>
      <c r="M228" s="1" t="str">
        <f t="shared" si="10"/>
        <v>Valid</v>
      </c>
      <c r="N228">
        <v>48</v>
      </c>
      <c r="O228" s="1" t="str">
        <f t="shared" si="11"/>
        <v>Valid</v>
      </c>
      <c r="P228" t="s">
        <v>11</v>
      </c>
      <c r="Q228" s="1" t="str">
        <v>Radio/Tv</v>
      </c>
      <c r="R228">
        <v>2</v>
      </c>
      <c r="S228" s="2" t="s">
        <v>35</v>
      </c>
    </row>
    <row r="229" spans="1:19" x14ac:dyDescent="0.35">
      <c r="A229">
        <v>53</v>
      </c>
      <c r="B229" s="2" t="s">
        <v>37</v>
      </c>
      <c r="C229" t="s">
        <v>19</v>
      </c>
      <c r="D229" s="1" t="str">
        <v>Male</v>
      </c>
      <c r="E229">
        <v>3</v>
      </c>
      <c r="F229" t="s">
        <v>22</v>
      </c>
      <c r="G229" t="s">
        <v>24</v>
      </c>
      <c r="H229" t="s">
        <v>24</v>
      </c>
      <c r="I229">
        <v>7865</v>
      </c>
      <c r="J229" s="2" t="s">
        <v>42</v>
      </c>
      <c r="K229" s="1" t="str">
        <f t="shared" si="9"/>
        <v>Clean</v>
      </c>
      <c r="L229" s="1" t="b">
        <v>1</v>
      </c>
      <c r="M229" s="1" t="str">
        <f t="shared" si="10"/>
        <v>Valid</v>
      </c>
      <c r="N229">
        <v>12</v>
      </c>
      <c r="O229" s="1" t="str">
        <f t="shared" si="11"/>
        <v>Valid</v>
      </c>
      <c r="P229" t="s">
        <v>13</v>
      </c>
      <c r="Q229" s="1" t="str">
        <v>Furniture/Equipment</v>
      </c>
      <c r="R229">
        <v>2</v>
      </c>
      <c r="S229" s="2" t="s">
        <v>35</v>
      </c>
    </row>
    <row r="230" spans="1:19" x14ac:dyDescent="0.35">
      <c r="A230">
        <v>22</v>
      </c>
      <c r="B230" s="2" t="s">
        <v>38</v>
      </c>
      <c r="C230" t="s">
        <v>19</v>
      </c>
      <c r="D230" s="1" t="str">
        <v>Male</v>
      </c>
      <c r="E230">
        <v>2</v>
      </c>
      <c r="F230" t="s">
        <v>21</v>
      </c>
      <c r="G230" t="s">
        <v>24</v>
      </c>
      <c r="H230" t="s">
        <v>10</v>
      </c>
      <c r="I230">
        <v>1478</v>
      </c>
      <c r="J230" s="2" t="s">
        <v>41</v>
      </c>
      <c r="K230" s="1" t="str">
        <f t="shared" si="9"/>
        <v>Has Spaces</v>
      </c>
      <c r="L230" s="1" t="b">
        <v>1</v>
      </c>
      <c r="M230" s="1" t="str">
        <f t="shared" si="10"/>
        <v>Valid</v>
      </c>
      <c r="N230">
        <v>9</v>
      </c>
      <c r="O230" s="1" t="str">
        <f t="shared" si="11"/>
        <v>Valid</v>
      </c>
      <c r="P230" t="s">
        <v>11</v>
      </c>
      <c r="Q230" s="1" t="str">
        <v>Radio/Tv</v>
      </c>
      <c r="R230">
        <v>2</v>
      </c>
      <c r="S230" s="2" t="s">
        <v>35</v>
      </c>
    </row>
    <row r="231" spans="1:19" x14ac:dyDescent="0.35">
      <c r="A231">
        <v>22</v>
      </c>
      <c r="B231" s="2" t="s">
        <v>38</v>
      </c>
      <c r="C231" t="s">
        <v>19</v>
      </c>
      <c r="D231" s="1" t="str">
        <v>Male</v>
      </c>
      <c r="E231">
        <v>2</v>
      </c>
      <c r="F231" t="s">
        <v>22</v>
      </c>
      <c r="G231" t="s">
        <v>24</v>
      </c>
      <c r="H231" t="s">
        <v>24</v>
      </c>
      <c r="I231">
        <v>3149</v>
      </c>
      <c r="J231" s="2" t="s">
        <v>43</v>
      </c>
      <c r="K231" s="1" t="str">
        <f t="shared" si="9"/>
        <v>Clean</v>
      </c>
      <c r="L231" s="1" t="b">
        <v>1</v>
      </c>
      <c r="M231" s="1" t="str">
        <f t="shared" si="10"/>
        <v>Valid</v>
      </c>
      <c r="N231">
        <v>24</v>
      </c>
      <c r="O231" s="1" t="str">
        <f t="shared" si="11"/>
        <v>Valid</v>
      </c>
      <c r="P231" t="s">
        <v>13</v>
      </c>
      <c r="Q231" s="1" t="str">
        <v>Furniture/Equipment</v>
      </c>
      <c r="R231">
        <v>1</v>
      </c>
      <c r="S231" s="2" t="s">
        <v>34</v>
      </c>
    </row>
    <row r="232" spans="1:19" x14ac:dyDescent="0.35">
      <c r="A232">
        <v>26</v>
      </c>
      <c r="B232" s="2" t="s">
        <v>38</v>
      </c>
      <c r="C232" t="s">
        <v>19</v>
      </c>
      <c r="D232" s="1" t="str">
        <v>Male</v>
      </c>
      <c r="E232">
        <v>2</v>
      </c>
      <c r="F232" t="s">
        <v>21</v>
      </c>
      <c r="G232" t="s">
        <v>24</v>
      </c>
      <c r="H232" t="s">
        <v>26</v>
      </c>
      <c r="I232">
        <v>4210</v>
      </c>
      <c r="J232" s="2" t="s">
        <v>43</v>
      </c>
      <c r="K232" s="1" t="str">
        <f t="shared" si="9"/>
        <v>Clean</v>
      </c>
      <c r="L232" s="1" t="b">
        <v>1</v>
      </c>
      <c r="M232" s="1" t="str">
        <f t="shared" si="10"/>
        <v>Valid</v>
      </c>
      <c r="N232">
        <v>36</v>
      </c>
      <c r="O232" s="1" t="str">
        <f t="shared" si="11"/>
        <v>Valid</v>
      </c>
      <c r="P232" t="s">
        <v>11</v>
      </c>
      <c r="Q232" s="1" t="str">
        <v>Radio/Tv</v>
      </c>
      <c r="R232">
        <v>2</v>
      </c>
      <c r="S232" s="2" t="s">
        <v>35</v>
      </c>
    </row>
    <row r="233" spans="1:19" x14ac:dyDescent="0.35">
      <c r="A233">
        <v>51</v>
      </c>
      <c r="B233" s="2" t="s">
        <v>37</v>
      </c>
      <c r="C233" t="s">
        <v>19</v>
      </c>
      <c r="D233" s="1" t="str">
        <v>Male</v>
      </c>
      <c r="E233">
        <v>1</v>
      </c>
      <c r="F233" t="s">
        <v>22</v>
      </c>
      <c r="G233" t="s">
        <v>25</v>
      </c>
      <c r="H233" t="s">
        <v>10</v>
      </c>
      <c r="I233">
        <v>2507</v>
      </c>
      <c r="J233" s="2" t="s">
        <v>43</v>
      </c>
      <c r="K233" s="1" t="str">
        <f t="shared" si="9"/>
        <v>Clean</v>
      </c>
      <c r="L233" s="1" t="b">
        <v>1</v>
      </c>
      <c r="M233" s="1" t="str">
        <f t="shared" si="10"/>
        <v>Valid</v>
      </c>
      <c r="N233">
        <v>9</v>
      </c>
      <c r="O233" s="1" t="str">
        <f t="shared" si="11"/>
        <v>Valid</v>
      </c>
      <c r="P233" t="s">
        <v>14</v>
      </c>
      <c r="Q233" s="1" t="str">
        <v>Car</v>
      </c>
      <c r="R233">
        <v>1</v>
      </c>
      <c r="S233" s="2" t="s">
        <v>34</v>
      </c>
    </row>
    <row r="234" spans="1:19" x14ac:dyDescent="0.35">
      <c r="A234">
        <v>35</v>
      </c>
      <c r="B234" s="2" t="s">
        <v>39</v>
      </c>
      <c r="C234" t="s">
        <v>19</v>
      </c>
      <c r="D234" s="1" t="str">
        <v>Male</v>
      </c>
      <c r="E234">
        <v>2</v>
      </c>
      <c r="F234" t="s">
        <v>21</v>
      </c>
      <c r="G234" t="s">
        <v>27</v>
      </c>
      <c r="H234" t="s">
        <v>10</v>
      </c>
      <c r="I234">
        <v>2141</v>
      </c>
      <c r="J234" s="2" t="s">
        <v>43</v>
      </c>
      <c r="K234" s="1" t="str">
        <f t="shared" si="9"/>
        <v>Clean</v>
      </c>
      <c r="L234" s="1" t="b">
        <v>1</v>
      </c>
      <c r="M234" s="1" t="str">
        <f t="shared" si="10"/>
        <v>Valid</v>
      </c>
      <c r="N234">
        <v>12</v>
      </c>
      <c r="O234" s="1" t="str">
        <f t="shared" si="11"/>
        <v>Valid</v>
      </c>
      <c r="P234" t="s">
        <v>11</v>
      </c>
      <c r="Q234" s="1" t="str">
        <v>Radio/Tv</v>
      </c>
      <c r="R234">
        <v>1</v>
      </c>
      <c r="S234" s="2" t="s">
        <v>34</v>
      </c>
    </row>
    <row r="235" spans="1:19" x14ac:dyDescent="0.35">
      <c r="A235">
        <v>25</v>
      </c>
      <c r="B235" s="2" t="s">
        <v>38</v>
      </c>
      <c r="C235" t="s">
        <v>19</v>
      </c>
      <c r="D235" s="1" t="str">
        <v>Male</v>
      </c>
      <c r="E235">
        <v>1</v>
      </c>
      <c r="F235" t="s">
        <v>21</v>
      </c>
      <c r="G235" t="s">
        <v>24</v>
      </c>
      <c r="H235" t="s">
        <v>27</v>
      </c>
      <c r="I235">
        <v>866</v>
      </c>
      <c r="J235" s="2" t="s">
        <v>41</v>
      </c>
      <c r="K235" s="1" t="str">
        <f t="shared" si="9"/>
        <v>Has Spaces</v>
      </c>
      <c r="L235" s="1" t="b">
        <v>1</v>
      </c>
      <c r="M235" s="1" t="str">
        <f t="shared" si="10"/>
        <v>Valid</v>
      </c>
      <c r="N235">
        <v>18</v>
      </c>
      <c r="O235" s="1" t="str">
        <f t="shared" si="11"/>
        <v>Valid</v>
      </c>
      <c r="P235" t="s">
        <v>11</v>
      </c>
      <c r="Q235" s="1" t="str">
        <v>Radio/Tv</v>
      </c>
      <c r="R235">
        <v>1</v>
      </c>
      <c r="S235" s="2" t="s">
        <v>34</v>
      </c>
    </row>
    <row r="236" spans="1:19" x14ac:dyDescent="0.35">
      <c r="A236">
        <v>42</v>
      </c>
      <c r="B236" s="2" t="s">
        <v>39</v>
      </c>
      <c r="C236" t="s">
        <v>19</v>
      </c>
      <c r="D236" s="1" t="str">
        <v>Male</v>
      </c>
      <c r="E236">
        <v>1</v>
      </c>
      <c r="F236" t="s">
        <v>21</v>
      </c>
      <c r="G236" t="s">
        <v>24</v>
      </c>
      <c r="H236" t="s">
        <v>10</v>
      </c>
      <c r="I236">
        <v>1544</v>
      </c>
      <c r="J236" s="2" t="s">
        <v>41</v>
      </c>
      <c r="K236" s="1" t="str">
        <f t="shared" si="9"/>
        <v>Has Spaces</v>
      </c>
      <c r="L236" s="1" t="b">
        <v>1</v>
      </c>
      <c r="M236" s="1" t="str">
        <f t="shared" si="10"/>
        <v>Valid</v>
      </c>
      <c r="N236">
        <v>4</v>
      </c>
      <c r="O236" s="1" t="str">
        <f t="shared" si="11"/>
        <v>Valid</v>
      </c>
      <c r="P236" t="s">
        <v>11</v>
      </c>
      <c r="Q236" s="1" t="str">
        <v>Radio/Tv</v>
      </c>
      <c r="R236">
        <v>1</v>
      </c>
      <c r="S236" s="2" t="s">
        <v>34</v>
      </c>
    </row>
    <row r="237" spans="1:19" x14ac:dyDescent="0.35">
      <c r="A237">
        <v>30</v>
      </c>
      <c r="B237" s="2" t="s">
        <v>39</v>
      </c>
      <c r="C237" t="s">
        <v>19</v>
      </c>
      <c r="D237" s="1" t="str">
        <v>Male</v>
      </c>
      <c r="E237">
        <v>3</v>
      </c>
      <c r="F237" t="s">
        <v>21</v>
      </c>
      <c r="G237" t="s">
        <v>24</v>
      </c>
      <c r="H237" t="s">
        <v>24</v>
      </c>
      <c r="I237">
        <v>1823</v>
      </c>
      <c r="J237" s="2" t="s">
        <v>41</v>
      </c>
      <c r="K237" s="1" t="str">
        <f t="shared" si="9"/>
        <v>Has Spaces</v>
      </c>
      <c r="L237" s="1" t="b">
        <v>1</v>
      </c>
      <c r="M237" s="1" t="str">
        <f t="shared" si="10"/>
        <v>Valid</v>
      </c>
      <c r="N237">
        <v>24</v>
      </c>
      <c r="O237" s="1" t="str">
        <f t="shared" si="11"/>
        <v>Valid</v>
      </c>
      <c r="P237" t="s">
        <v>11</v>
      </c>
      <c r="Q237" s="1" t="str">
        <v>Radio/Tv</v>
      </c>
      <c r="R237">
        <v>2</v>
      </c>
      <c r="S237" s="2" t="s">
        <v>35</v>
      </c>
    </row>
    <row r="238" spans="1:19" x14ac:dyDescent="0.35">
      <c r="A238">
        <v>23</v>
      </c>
      <c r="B238" s="2" t="s">
        <v>38</v>
      </c>
      <c r="C238" t="s">
        <v>19</v>
      </c>
      <c r="D238" s="1" t="str">
        <v>Male</v>
      </c>
      <c r="E238">
        <v>0</v>
      </c>
      <c r="F238" t="s">
        <v>21</v>
      </c>
      <c r="G238" t="s">
        <v>10</v>
      </c>
      <c r="H238" t="s">
        <v>27</v>
      </c>
      <c r="I238">
        <v>14555</v>
      </c>
      <c r="J238" s="2" t="s">
        <v>42</v>
      </c>
      <c r="K238" s="1" t="str">
        <f t="shared" si="9"/>
        <v>Clean</v>
      </c>
      <c r="L238" s="1" t="b">
        <v>1</v>
      </c>
      <c r="M238" s="1" t="str">
        <f t="shared" si="10"/>
        <v>Valid</v>
      </c>
      <c r="N238">
        <v>6</v>
      </c>
      <c r="O238" s="1" t="str">
        <f t="shared" si="11"/>
        <v>Valid</v>
      </c>
      <c r="P238" t="s">
        <v>14</v>
      </c>
      <c r="Q238" s="1" t="str">
        <v>Car</v>
      </c>
      <c r="R238">
        <v>2</v>
      </c>
      <c r="S238" s="2" t="s">
        <v>35</v>
      </c>
    </row>
    <row r="239" spans="1:19" x14ac:dyDescent="0.35">
      <c r="A239">
        <v>61</v>
      </c>
      <c r="B239" s="2" t="s">
        <v>37</v>
      </c>
      <c r="C239" t="s">
        <v>19</v>
      </c>
      <c r="D239" s="1" t="str">
        <v>Male</v>
      </c>
      <c r="E239">
        <v>1</v>
      </c>
      <c r="F239" t="s">
        <v>23</v>
      </c>
      <c r="G239" t="s">
        <v>27</v>
      </c>
      <c r="H239" t="s">
        <v>27</v>
      </c>
      <c r="I239">
        <v>2767</v>
      </c>
      <c r="J239" s="2" t="s">
        <v>43</v>
      </c>
      <c r="K239" s="1" t="str">
        <f t="shared" si="9"/>
        <v>Clean</v>
      </c>
      <c r="L239" s="1" t="b">
        <v>1</v>
      </c>
      <c r="M239" s="1" t="str">
        <f t="shared" si="10"/>
        <v>Valid</v>
      </c>
      <c r="N239">
        <v>21</v>
      </c>
      <c r="O239" s="1" t="str">
        <f t="shared" si="11"/>
        <v>Valid</v>
      </c>
      <c r="P239" t="s">
        <v>15</v>
      </c>
      <c r="Q239" s="1" t="str">
        <v>Business</v>
      </c>
      <c r="R239">
        <v>2</v>
      </c>
      <c r="S239" s="2" t="s">
        <v>35</v>
      </c>
    </row>
    <row r="240" spans="1:19" x14ac:dyDescent="0.35">
      <c r="A240">
        <v>35</v>
      </c>
      <c r="B240" s="2" t="s">
        <v>39</v>
      </c>
      <c r="C240" t="s">
        <v>20</v>
      </c>
      <c r="D240" s="1" t="str">
        <v>Female</v>
      </c>
      <c r="E240">
        <v>2</v>
      </c>
      <c r="F240" t="s">
        <v>21</v>
      </c>
      <c r="G240" t="s">
        <v>24</v>
      </c>
      <c r="H240" t="s">
        <v>10</v>
      </c>
      <c r="I240">
        <v>1291</v>
      </c>
      <c r="J240" s="2" t="s">
        <v>41</v>
      </c>
      <c r="K240" s="1" t="str">
        <f t="shared" si="9"/>
        <v>Has Spaces</v>
      </c>
      <c r="L240" s="1" t="b">
        <v>1</v>
      </c>
      <c r="M240" s="1" t="str">
        <f t="shared" si="10"/>
        <v>Valid</v>
      </c>
      <c r="N240">
        <v>12</v>
      </c>
      <c r="O240" s="1" t="str">
        <f t="shared" si="11"/>
        <v>Valid</v>
      </c>
      <c r="P240" t="s">
        <v>11</v>
      </c>
      <c r="Q240" s="1" t="str">
        <v>Radio/Tv</v>
      </c>
      <c r="R240">
        <v>1</v>
      </c>
      <c r="S240" s="2" t="s">
        <v>34</v>
      </c>
    </row>
    <row r="241" spans="1:19" x14ac:dyDescent="0.35">
      <c r="A241">
        <v>39</v>
      </c>
      <c r="B241" s="2" t="s">
        <v>39</v>
      </c>
      <c r="C241" t="s">
        <v>19</v>
      </c>
      <c r="D241" s="1" t="str">
        <v>Male</v>
      </c>
      <c r="E241">
        <v>2</v>
      </c>
      <c r="F241" t="s">
        <v>21</v>
      </c>
      <c r="G241" t="s">
        <v>24</v>
      </c>
      <c r="H241" t="s">
        <v>24</v>
      </c>
      <c r="I241">
        <v>2522</v>
      </c>
      <c r="J241" s="2" t="s">
        <v>43</v>
      </c>
      <c r="K241" s="1" t="str">
        <f t="shared" si="9"/>
        <v>Clean</v>
      </c>
      <c r="L241" s="1" t="b">
        <v>1</v>
      </c>
      <c r="M241" s="1" t="str">
        <f t="shared" si="10"/>
        <v>Valid</v>
      </c>
      <c r="N241">
        <v>30</v>
      </c>
      <c r="O241" s="1" t="str">
        <f t="shared" si="11"/>
        <v>Valid</v>
      </c>
      <c r="P241" t="s">
        <v>11</v>
      </c>
      <c r="Q241" s="1" t="str">
        <v>Radio/Tv</v>
      </c>
      <c r="R241">
        <v>1</v>
      </c>
      <c r="S241" s="2" t="s">
        <v>34</v>
      </c>
    </row>
    <row r="242" spans="1:19" x14ac:dyDescent="0.35">
      <c r="A242">
        <v>29</v>
      </c>
      <c r="B242" s="2" t="s">
        <v>38</v>
      </c>
      <c r="C242" t="s">
        <v>20</v>
      </c>
      <c r="D242" s="1" t="str">
        <v>Female</v>
      </c>
      <c r="E242">
        <v>2</v>
      </c>
      <c r="F242" t="s">
        <v>21</v>
      </c>
      <c r="G242" t="s">
        <v>10</v>
      </c>
      <c r="H242" t="s">
        <v>24</v>
      </c>
      <c r="I242">
        <v>915</v>
      </c>
      <c r="J242" s="2" t="s">
        <v>41</v>
      </c>
      <c r="K242" s="1" t="str">
        <f t="shared" si="9"/>
        <v>Has Spaces</v>
      </c>
      <c r="L242" s="1" t="b">
        <v>1</v>
      </c>
      <c r="M242" s="1" t="str">
        <f t="shared" si="10"/>
        <v>Valid</v>
      </c>
      <c r="N242">
        <v>24</v>
      </c>
      <c r="O242" s="1" t="str">
        <f t="shared" si="11"/>
        <v>Valid</v>
      </c>
      <c r="P242" t="s">
        <v>14</v>
      </c>
      <c r="Q242" s="1" t="str">
        <v>Car</v>
      </c>
      <c r="R242">
        <v>2</v>
      </c>
      <c r="S242" s="2" t="s">
        <v>35</v>
      </c>
    </row>
    <row r="243" spans="1:19" x14ac:dyDescent="0.35">
      <c r="A243">
        <v>51</v>
      </c>
      <c r="B243" s="2" t="s">
        <v>37</v>
      </c>
      <c r="C243" t="s">
        <v>19</v>
      </c>
      <c r="D243" s="1" t="str">
        <v>Male</v>
      </c>
      <c r="E243">
        <v>2</v>
      </c>
      <c r="F243" t="s">
        <v>21</v>
      </c>
      <c r="G243" t="s">
        <v>24</v>
      </c>
      <c r="H243" t="s">
        <v>10</v>
      </c>
      <c r="I243">
        <v>1595</v>
      </c>
      <c r="J243" s="2" t="s">
        <v>41</v>
      </c>
      <c r="K243" s="1" t="str">
        <f t="shared" si="9"/>
        <v>Has Spaces</v>
      </c>
      <c r="L243" s="1" t="b">
        <v>1</v>
      </c>
      <c r="M243" s="1" t="str">
        <f t="shared" si="10"/>
        <v>Valid</v>
      </c>
      <c r="N243">
        <v>6</v>
      </c>
      <c r="O243" s="1" t="str">
        <f t="shared" si="11"/>
        <v>Valid</v>
      </c>
      <c r="P243" t="s">
        <v>11</v>
      </c>
      <c r="Q243" s="1" t="str">
        <v>Radio/Tv</v>
      </c>
      <c r="R243">
        <v>1</v>
      </c>
      <c r="S243" s="2" t="s">
        <v>34</v>
      </c>
    </row>
    <row r="244" spans="1:19" x14ac:dyDescent="0.35">
      <c r="A244">
        <v>24</v>
      </c>
      <c r="B244" s="2" t="s">
        <v>38</v>
      </c>
      <c r="C244" t="s">
        <v>19</v>
      </c>
      <c r="D244" s="1" t="str">
        <v>Male</v>
      </c>
      <c r="E244">
        <v>2</v>
      </c>
      <c r="F244" t="s">
        <v>22</v>
      </c>
      <c r="G244" t="s">
        <v>24</v>
      </c>
      <c r="H244" t="s">
        <v>24</v>
      </c>
      <c r="I244">
        <v>4605</v>
      </c>
      <c r="J244" s="2" t="s">
        <v>43</v>
      </c>
      <c r="K244" s="1" t="str">
        <f t="shared" si="9"/>
        <v>Clean</v>
      </c>
      <c r="L244" s="1" t="b">
        <v>1</v>
      </c>
      <c r="M244" s="1" t="str">
        <f t="shared" si="10"/>
        <v>Valid</v>
      </c>
      <c r="N244">
        <v>48</v>
      </c>
      <c r="O244" s="1" t="str">
        <f t="shared" si="11"/>
        <v>Valid</v>
      </c>
      <c r="P244" t="s">
        <v>14</v>
      </c>
      <c r="Q244" s="1" t="str">
        <v>Car</v>
      </c>
      <c r="R244">
        <v>2</v>
      </c>
      <c r="S244" s="2" t="s">
        <v>35</v>
      </c>
    </row>
    <row r="245" spans="1:19" x14ac:dyDescent="0.35">
      <c r="A245">
        <v>27</v>
      </c>
      <c r="B245" s="2" t="s">
        <v>38</v>
      </c>
      <c r="C245" t="s">
        <v>20</v>
      </c>
      <c r="D245" s="1" t="str">
        <v>Female</v>
      </c>
      <c r="E245">
        <v>2</v>
      </c>
      <c r="F245" t="s">
        <v>21</v>
      </c>
      <c r="G245" t="s">
        <v>24</v>
      </c>
      <c r="H245" t="s">
        <v>10</v>
      </c>
      <c r="I245">
        <v>1185</v>
      </c>
      <c r="J245" s="2" t="s">
        <v>41</v>
      </c>
      <c r="K245" s="1" t="str">
        <f t="shared" si="9"/>
        <v>Has Spaces</v>
      </c>
      <c r="L245" s="1" t="b">
        <v>1</v>
      </c>
      <c r="M245" s="1" t="str">
        <f t="shared" si="10"/>
        <v>Valid</v>
      </c>
      <c r="N245">
        <v>12</v>
      </c>
      <c r="O245" s="1" t="str">
        <f t="shared" si="11"/>
        <v>Valid</v>
      </c>
      <c r="P245" t="s">
        <v>15</v>
      </c>
      <c r="Q245" s="1" t="str">
        <v>Business</v>
      </c>
      <c r="R245">
        <v>1</v>
      </c>
      <c r="S245" s="2" t="s">
        <v>34</v>
      </c>
    </row>
    <row r="246" spans="1:19" x14ac:dyDescent="0.35">
      <c r="A246">
        <v>35</v>
      </c>
      <c r="B246" s="2" t="s">
        <v>39</v>
      </c>
      <c r="C246" t="s">
        <v>20</v>
      </c>
      <c r="D246" s="1" t="str">
        <v>Female</v>
      </c>
      <c r="E246">
        <v>1</v>
      </c>
      <c r="F246" t="s">
        <v>21</v>
      </c>
      <c r="G246" t="s">
        <v>25</v>
      </c>
      <c r="H246" t="s">
        <v>10</v>
      </c>
      <c r="I246">
        <v>3447</v>
      </c>
      <c r="J246" s="2" t="s">
        <v>43</v>
      </c>
      <c r="K246" s="1" t="str">
        <f t="shared" si="9"/>
        <v>Clean</v>
      </c>
      <c r="L246" s="1" t="b">
        <v>1</v>
      </c>
      <c r="M246" s="1" t="str">
        <f t="shared" si="10"/>
        <v>Valid</v>
      </c>
      <c r="N246">
        <v>12</v>
      </c>
      <c r="O246" s="1" t="str">
        <f t="shared" si="11"/>
        <v>Valid</v>
      </c>
      <c r="P246" t="s">
        <v>12</v>
      </c>
      <c r="Q246" s="1" t="str">
        <v>Education</v>
      </c>
      <c r="R246">
        <v>1</v>
      </c>
      <c r="S246" s="2" t="s">
        <v>34</v>
      </c>
    </row>
    <row r="247" spans="1:19" x14ac:dyDescent="0.35">
      <c r="A247">
        <v>25</v>
      </c>
      <c r="B247" s="2" t="s">
        <v>38</v>
      </c>
      <c r="C247" t="s">
        <v>19</v>
      </c>
      <c r="D247" s="1" t="str">
        <v>Male</v>
      </c>
      <c r="E247">
        <v>2</v>
      </c>
      <c r="F247" t="s">
        <v>21</v>
      </c>
      <c r="G247" t="s">
        <v>24</v>
      </c>
      <c r="H247" t="s">
        <v>10</v>
      </c>
      <c r="I247">
        <v>1258</v>
      </c>
      <c r="J247" s="2" t="s">
        <v>41</v>
      </c>
      <c r="K247" s="1" t="str">
        <f t="shared" si="9"/>
        <v>Has Spaces</v>
      </c>
      <c r="L247" s="1" t="b">
        <v>1</v>
      </c>
      <c r="M247" s="1" t="str">
        <f t="shared" si="10"/>
        <v>Valid</v>
      </c>
      <c r="N247">
        <v>24</v>
      </c>
      <c r="O247" s="1" t="str">
        <f t="shared" si="11"/>
        <v>Valid</v>
      </c>
      <c r="P247" t="s">
        <v>15</v>
      </c>
      <c r="Q247" s="1" t="str">
        <v>Business</v>
      </c>
      <c r="R247">
        <v>1</v>
      </c>
      <c r="S247" s="2" t="s">
        <v>34</v>
      </c>
    </row>
    <row r="248" spans="1:19" x14ac:dyDescent="0.35">
      <c r="A248">
        <v>52</v>
      </c>
      <c r="B248" s="2" t="s">
        <v>37</v>
      </c>
      <c r="C248" t="s">
        <v>19</v>
      </c>
      <c r="D248" s="1" t="str">
        <v>Male</v>
      </c>
      <c r="E248">
        <v>2</v>
      </c>
      <c r="F248" t="s">
        <v>21</v>
      </c>
      <c r="G248" t="s">
        <v>24</v>
      </c>
      <c r="H248" t="s">
        <v>10</v>
      </c>
      <c r="I248">
        <v>717</v>
      </c>
      <c r="J248" s="2" t="s">
        <v>41</v>
      </c>
      <c r="K248" s="1" t="str">
        <f t="shared" si="9"/>
        <v>Has Spaces</v>
      </c>
      <c r="L248" s="1" t="b">
        <v>1</v>
      </c>
      <c r="M248" s="1" t="str">
        <f t="shared" si="10"/>
        <v>Valid</v>
      </c>
      <c r="N248">
        <v>12</v>
      </c>
      <c r="O248" s="1" t="str">
        <f t="shared" si="11"/>
        <v>Valid</v>
      </c>
      <c r="P248" t="s">
        <v>11</v>
      </c>
      <c r="Q248" s="1" t="str">
        <v>Radio/Tv</v>
      </c>
      <c r="R248">
        <v>1</v>
      </c>
      <c r="S248" s="2" t="s">
        <v>34</v>
      </c>
    </row>
    <row r="249" spans="1:19" x14ac:dyDescent="0.35">
      <c r="A249">
        <v>35</v>
      </c>
      <c r="B249" s="2" t="s">
        <v>39</v>
      </c>
      <c r="C249" t="s">
        <v>19</v>
      </c>
      <c r="D249" s="1" t="str">
        <v>Male</v>
      </c>
      <c r="E249">
        <v>2</v>
      </c>
      <c r="F249" t="s">
        <v>23</v>
      </c>
      <c r="G249" t="s">
        <v>27</v>
      </c>
      <c r="H249" t="s">
        <v>10</v>
      </c>
      <c r="I249">
        <v>1204</v>
      </c>
      <c r="J249" s="2" t="s">
        <v>41</v>
      </c>
      <c r="K249" s="1" t="str">
        <f t="shared" si="9"/>
        <v>Has Spaces</v>
      </c>
      <c r="L249" s="1" t="b">
        <v>1</v>
      </c>
      <c r="M249" s="1" t="str">
        <f t="shared" si="10"/>
        <v>Valid</v>
      </c>
      <c r="N249">
        <v>6</v>
      </c>
      <c r="O249" s="1" t="str">
        <f t="shared" si="11"/>
        <v>Valid</v>
      </c>
      <c r="P249" t="s">
        <v>14</v>
      </c>
      <c r="Q249" s="1" t="str">
        <v>Car</v>
      </c>
      <c r="R249">
        <v>1</v>
      </c>
      <c r="S249" s="2" t="s">
        <v>34</v>
      </c>
    </row>
    <row r="250" spans="1:19" x14ac:dyDescent="0.35">
      <c r="A250">
        <v>26</v>
      </c>
      <c r="B250" s="2" t="s">
        <v>38</v>
      </c>
      <c r="C250" t="s">
        <v>19</v>
      </c>
      <c r="D250" s="1" t="str">
        <v>Male</v>
      </c>
      <c r="E250">
        <v>2</v>
      </c>
      <c r="F250" t="s">
        <v>21</v>
      </c>
      <c r="G250" t="s">
        <v>24</v>
      </c>
      <c r="H250" t="s">
        <v>26</v>
      </c>
      <c r="I250">
        <v>1925</v>
      </c>
      <c r="J250" s="2" t="s">
        <v>41</v>
      </c>
      <c r="K250" s="1" t="str">
        <f t="shared" si="9"/>
        <v>Has Spaces</v>
      </c>
      <c r="L250" s="1" t="b">
        <v>1</v>
      </c>
      <c r="M250" s="1" t="str">
        <f t="shared" si="10"/>
        <v>Valid</v>
      </c>
      <c r="N250">
        <v>24</v>
      </c>
      <c r="O250" s="1" t="str">
        <f t="shared" si="11"/>
        <v>Valid</v>
      </c>
      <c r="P250" t="s">
        <v>13</v>
      </c>
      <c r="Q250" s="1" t="str">
        <v>Furniture/Equipment</v>
      </c>
      <c r="R250">
        <v>1</v>
      </c>
      <c r="S250" s="2" t="s">
        <v>34</v>
      </c>
    </row>
    <row r="251" spans="1:19" x14ac:dyDescent="0.35">
      <c r="A251">
        <v>22</v>
      </c>
      <c r="B251" s="2" t="s">
        <v>38</v>
      </c>
      <c r="C251" t="s">
        <v>20</v>
      </c>
      <c r="D251" s="1" t="str">
        <v>Female</v>
      </c>
      <c r="E251">
        <v>2</v>
      </c>
      <c r="F251" t="s">
        <v>23</v>
      </c>
      <c r="G251" t="s">
        <v>24</v>
      </c>
      <c r="H251" t="s">
        <v>10</v>
      </c>
      <c r="I251">
        <v>433</v>
      </c>
      <c r="J251" s="2" t="s">
        <v>41</v>
      </c>
      <c r="K251" s="1" t="str">
        <f t="shared" si="9"/>
        <v>Has Spaces</v>
      </c>
      <c r="L251" s="1" t="b">
        <v>1</v>
      </c>
      <c r="M251" s="1" t="str">
        <f t="shared" si="10"/>
        <v>Valid</v>
      </c>
      <c r="N251">
        <v>18</v>
      </c>
      <c r="O251" s="1" t="str">
        <f t="shared" si="11"/>
        <v>Valid</v>
      </c>
      <c r="P251" t="s">
        <v>11</v>
      </c>
      <c r="Q251" s="1" t="str">
        <v>Radio/Tv</v>
      </c>
      <c r="R251">
        <v>2</v>
      </c>
      <c r="S251" s="2" t="s">
        <v>35</v>
      </c>
    </row>
    <row r="252" spans="1:19" x14ac:dyDescent="0.35">
      <c r="A252">
        <v>39</v>
      </c>
      <c r="B252" s="2" t="s">
        <v>39</v>
      </c>
      <c r="C252" t="s">
        <v>20</v>
      </c>
      <c r="D252" s="1" t="str">
        <v>Female</v>
      </c>
      <c r="E252">
        <v>1</v>
      </c>
      <c r="F252" t="s">
        <v>21</v>
      </c>
      <c r="G252" t="s">
        <v>26</v>
      </c>
      <c r="H252" t="s">
        <v>24</v>
      </c>
      <c r="I252">
        <v>666</v>
      </c>
      <c r="J252" s="2" t="s">
        <v>41</v>
      </c>
      <c r="K252" s="1" t="str">
        <f t="shared" si="9"/>
        <v>Has Spaces</v>
      </c>
      <c r="L252" s="1" t="b">
        <v>1</v>
      </c>
      <c r="M252" s="1" t="str">
        <f t="shared" si="10"/>
        <v>Valid</v>
      </c>
      <c r="N252">
        <v>6</v>
      </c>
      <c r="O252" s="1" t="str">
        <f t="shared" si="11"/>
        <v>Valid</v>
      </c>
      <c r="P252" t="s">
        <v>14</v>
      </c>
      <c r="Q252" s="1" t="str">
        <v>Car</v>
      </c>
      <c r="R252">
        <v>1</v>
      </c>
      <c r="S252" s="2" t="s">
        <v>34</v>
      </c>
    </row>
    <row r="253" spans="1:19" x14ac:dyDescent="0.35">
      <c r="A253">
        <v>46</v>
      </c>
      <c r="B253" s="2" t="s">
        <v>39</v>
      </c>
      <c r="C253" t="s">
        <v>20</v>
      </c>
      <c r="D253" s="1" t="str">
        <v>Female</v>
      </c>
      <c r="E253">
        <v>1</v>
      </c>
      <c r="F253" t="s">
        <v>21</v>
      </c>
      <c r="G253" t="s">
        <v>24</v>
      </c>
      <c r="H253" t="s">
        <v>26</v>
      </c>
      <c r="I253">
        <v>2251</v>
      </c>
      <c r="J253" s="2" t="s">
        <v>43</v>
      </c>
      <c r="K253" s="1" t="str">
        <f t="shared" si="9"/>
        <v>Clean</v>
      </c>
      <c r="L253" s="1" t="b">
        <v>1</v>
      </c>
      <c r="M253" s="1" t="str">
        <f t="shared" si="10"/>
        <v>Valid</v>
      </c>
      <c r="N253">
        <v>12</v>
      </c>
      <c r="O253" s="1" t="str">
        <f t="shared" si="11"/>
        <v>Valid</v>
      </c>
      <c r="P253" t="s">
        <v>13</v>
      </c>
      <c r="Q253" s="1" t="str">
        <v>Furniture/Equipment</v>
      </c>
      <c r="R253">
        <v>1</v>
      </c>
      <c r="S253" s="2" t="s">
        <v>34</v>
      </c>
    </row>
    <row r="254" spans="1:19" x14ac:dyDescent="0.35">
      <c r="A254">
        <v>24</v>
      </c>
      <c r="B254" s="2" t="s">
        <v>38</v>
      </c>
      <c r="C254" t="s">
        <v>20</v>
      </c>
      <c r="D254" s="1" t="str">
        <v>Female</v>
      </c>
      <c r="E254">
        <v>2</v>
      </c>
      <c r="F254" t="s">
        <v>21</v>
      </c>
      <c r="G254" t="s">
        <v>24</v>
      </c>
      <c r="H254" t="s">
        <v>27</v>
      </c>
      <c r="I254">
        <v>2150</v>
      </c>
      <c r="J254" s="2" t="s">
        <v>43</v>
      </c>
      <c r="K254" s="1" t="str">
        <f t="shared" si="9"/>
        <v>Clean</v>
      </c>
      <c r="L254" s="1" t="b">
        <v>1</v>
      </c>
      <c r="M254" s="1" t="str">
        <f t="shared" si="10"/>
        <v>Valid</v>
      </c>
      <c r="N254">
        <v>30</v>
      </c>
      <c r="O254" s="1" t="str">
        <f t="shared" si="11"/>
        <v>Valid</v>
      </c>
      <c r="P254" t="s">
        <v>14</v>
      </c>
      <c r="Q254" s="1" t="str">
        <v>Car</v>
      </c>
      <c r="R254">
        <v>2</v>
      </c>
      <c r="S254" s="2" t="s">
        <v>35</v>
      </c>
    </row>
    <row r="255" spans="1:19" x14ac:dyDescent="0.35">
      <c r="A255">
        <v>35</v>
      </c>
      <c r="B255" s="2" t="s">
        <v>39</v>
      </c>
      <c r="C255" t="s">
        <v>19</v>
      </c>
      <c r="D255" s="1" t="str">
        <v>Male</v>
      </c>
      <c r="E255">
        <v>2</v>
      </c>
      <c r="F255" t="s">
        <v>21</v>
      </c>
      <c r="G255" t="s">
        <v>27</v>
      </c>
      <c r="H255" t="s">
        <v>10</v>
      </c>
      <c r="I255">
        <v>4151</v>
      </c>
      <c r="J255" s="2" t="s">
        <v>43</v>
      </c>
      <c r="K255" s="1" t="str">
        <f t="shared" si="9"/>
        <v>Clean</v>
      </c>
      <c r="L255" s="1" t="b">
        <v>1</v>
      </c>
      <c r="M255" s="1" t="str">
        <f t="shared" si="10"/>
        <v>Valid</v>
      </c>
      <c r="N255">
        <v>24</v>
      </c>
      <c r="O255" s="1" t="str">
        <f t="shared" si="11"/>
        <v>Valid</v>
      </c>
      <c r="P255" t="s">
        <v>13</v>
      </c>
      <c r="Q255" s="1" t="str">
        <v>Furniture/Equipment</v>
      </c>
      <c r="R255">
        <v>1</v>
      </c>
      <c r="S255" s="2" t="s">
        <v>34</v>
      </c>
    </row>
    <row r="256" spans="1:19" x14ac:dyDescent="0.35">
      <c r="A256">
        <v>24</v>
      </c>
      <c r="B256" s="2" t="s">
        <v>38</v>
      </c>
      <c r="C256" t="s">
        <v>19</v>
      </c>
      <c r="D256" s="1" t="str">
        <v>Male</v>
      </c>
      <c r="E256">
        <v>2</v>
      </c>
      <c r="F256" t="s">
        <v>21</v>
      </c>
      <c r="G256" t="s">
        <v>10</v>
      </c>
      <c r="H256" t="s">
        <v>27</v>
      </c>
      <c r="I256">
        <v>2030</v>
      </c>
      <c r="J256" s="2" t="s">
        <v>43</v>
      </c>
      <c r="K256" s="1" t="str">
        <f t="shared" si="9"/>
        <v>Clean</v>
      </c>
      <c r="L256" s="1" t="b">
        <v>1</v>
      </c>
      <c r="M256" s="1" t="str">
        <f t="shared" si="10"/>
        <v>Valid</v>
      </c>
      <c r="N256">
        <v>9</v>
      </c>
      <c r="O256" s="1" t="str">
        <f t="shared" si="11"/>
        <v>Valid</v>
      </c>
      <c r="P256" t="s">
        <v>13</v>
      </c>
      <c r="Q256" s="1" t="str">
        <v>Furniture/Equipment</v>
      </c>
      <c r="R256">
        <v>1</v>
      </c>
      <c r="S256" s="2" t="s">
        <v>34</v>
      </c>
    </row>
    <row r="257" spans="1:19" x14ac:dyDescent="0.35">
      <c r="A257">
        <v>27</v>
      </c>
      <c r="B257" s="2" t="s">
        <v>38</v>
      </c>
      <c r="C257" t="s">
        <v>19</v>
      </c>
      <c r="D257" s="1" t="str">
        <v>Male</v>
      </c>
      <c r="E257">
        <v>1</v>
      </c>
      <c r="F257" t="s">
        <v>21</v>
      </c>
      <c r="G257" t="s">
        <v>10</v>
      </c>
      <c r="H257" t="s">
        <v>27</v>
      </c>
      <c r="I257">
        <v>7418</v>
      </c>
      <c r="J257" s="2" t="s">
        <v>42</v>
      </c>
      <c r="K257" s="1" t="str">
        <f t="shared" si="9"/>
        <v>Clean</v>
      </c>
      <c r="L257" s="1" t="b">
        <v>1</v>
      </c>
      <c r="M257" s="1" t="str">
        <f t="shared" si="10"/>
        <v>Valid</v>
      </c>
      <c r="N257">
        <v>60</v>
      </c>
      <c r="O257" s="1" t="str">
        <f t="shared" si="11"/>
        <v>Valid</v>
      </c>
      <c r="P257" t="s">
        <v>11</v>
      </c>
      <c r="Q257" s="1" t="str">
        <v>Radio/Tv</v>
      </c>
      <c r="R257">
        <v>1</v>
      </c>
      <c r="S257" s="2" t="s">
        <v>34</v>
      </c>
    </row>
    <row r="258" spans="1:19" x14ac:dyDescent="0.35">
      <c r="A258">
        <v>35</v>
      </c>
      <c r="B258" s="2" t="s">
        <v>39</v>
      </c>
      <c r="C258" t="s">
        <v>19</v>
      </c>
      <c r="D258" s="1" t="str">
        <v>Male</v>
      </c>
      <c r="E258">
        <v>1</v>
      </c>
      <c r="F258" t="s">
        <v>21</v>
      </c>
      <c r="G258" t="s">
        <v>24</v>
      </c>
      <c r="H258" t="s">
        <v>10</v>
      </c>
      <c r="I258">
        <v>2684</v>
      </c>
      <c r="J258" s="2" t="s">
        <v>43</v>
      </c>
      <c r="K258" s="1" t="str">
        <f t="shared" si="9"/>
        <v>Clean</v>
      </c>
      <c r="L258" s="1" t="b">
        <v>1</v>
      </c>
      <c r="M258" s="1" t="str">
        <f t="shared" si="10"/>
        <v>Valid</v>
      </c>
      <c r="N258">
        <v>24</v>
      </c>
      <c r="O258" s="1" t="str">
        <f t="shared" si="11"/>
        <v>Valid</v>
      </c>
      <c r="P258" t="s">
        <v>11</v>
      </c>
      <c r="Q258" s="1" t="str">
        <v>Radio/Tv</v>
      </c>
      <c r="R258">
        <v>1</v>
      </c>
      <c r="S258" s="2" t="s">
        <v>34</v>
      </c>
    </row>
    <row r="259" spans="1:19" x14ac:dyDescent="0.35">
      <c r="A259">
        <v>29</v>
      </c>
      <c r="B259" s="2" t="s">
        <v>38</v>
      </c>
      <c r="C259" t="s">
        <v>19</v>
      </c>
      <c r="D259" s="1" t="str">
        <v>Male</v>
      </c>
      <c r="E259">
        <v>2</v>
      </c>
      <c r="F259" t="s">
        <v>22</v>
      </c>
      <c r="G259" t="s">
        <v>24</v>
      </c>
      <c r="H259" t="s">
        <v>24</v>
      </c>
      <c r="I259">
        <v>2149</v>
      </c>
      <c r="J259" s="2" t="s">
        <v>43</v>
      </c>
      <c r="K259" s="1" t="str">
        <f t="shared" ref="K259:K322" si="12">IF(J259=TRIM(J259),"Clean","Has Spaces")</f>
        <v>Clean</v>
      </c>
      <c r="L259" s="1" t="b">
        <v>1</v>
      </c>
      <c r="M259" s="1" t="str">
        <f t="shared" ref="M259:M322" si="13">IF(I259&gt;0,"Valid", "Invalid")</f>
        <v>Valid</v>
      </c>
      <c r="N259">
        <v>12</v>
      </c>
      <c r="O259" s="1" t="str">
        <f t="shared" ref="O259:O322" si="14">IF(N259&lt;=0,"invalid", "Valid")</f>
        <v>Valid</v>
      </c>
      <c r="P259" t="s">
        <v>11</v>
      </c>
      <c r="Q259" s="1" t="str">
        <v>Radio/Tv</v>
      </c>
      <c r="R259">
        <v>2</v>
      </c>
      <c r="S259" s="2" t="s">
        <v>35</v>
      </c>
    </row>
    <row r="260" spans="1:19" x14ac:dyDescent="0.35">
      <c r="A260">
        <v>23</v>
      </c>
      <c r="B260" s="2" t="s">
        <v>38</v>
      </c>
      <c r="C260" t="s">
        <v>20</v>
      </c>
      <c r="D260" s="1" t="str">
        <v>Female</v>
      </c>
      <c r="E260">
        <v>2</v>
      </c>
      <c r="F260" t="s">
        <v>21</v>
      </c>
      <c r="G260" t="s">
        <v>27</v>
      </c>
      <c r="H260" t="s">
        <v>10</v>
      </c>
      <c r="I260">
        <v>3812</v>
      </c>
      <c r="J260" s="2" t="s">
        <v>43</v>
      </c>
      <c r="K260" s="1" t="str">
        <f t="shared" si="12"/>
        <v>Clean</v>
      </c>
      <c r="L260" s="1" t="b">
        <v>1</v>
      </c>
      <c r="M260" s="1" t="str">
        <f t="shared" si="13"/>
        <v>Valid</v>
      </c>
      <c r="N260">
        <v>15</v>
      </c>
      <c r="O260" s="1" t="str">
        <f t="shared" si="14"/>
        <v>Valid</v>
      </c>
      <c r="P260" t="s">
        <v>14</v>
      </c>
      <c r="Q260" s="1" t="str">
        <v>Car</v>
      </c>
      <c r="R260">
        <v>1</v>
      </c>
      <c r="S260" s="2" t="s">
        <v>34</v>
      </c>
    </row>
    <row r="261" spans="1:19" x14ac:dyDescent="0.35">
      <c r="A261">
        <v>57</v>
      </c>
      <c r="B261" s="2" t="s">
        <v>37</v>
      </c>
      <c r="C261" t="s">
        <v>20</v>
      </c>
      <c r="D261" s="1" t="str">
        <v>Female</v>
      </c>
      <c r="E261">
        <v>1</v>
      </c>
      <c r="F261" t="s">
        <v>21</v>
      </c>
      <c r="G261" t="s">
        <v>27</v>
      </c>
      <c r="H261" t="s">
        <v>10</v>
      </c>
      <c r="I261">
        <v>1154</v>
      </c>
      <c r="J261" s="2" t="s">
        <v>41</v>
      </c>
      <c r="K261" s="1" t="str">
        <f t="shared" si="12"/>
        <v>Has Spaces</v>
      </c>
      <c r="L261" s="1" t="b">
        <v>1</v>
      </c>
      <c r="M261" s="1" t="str">
        <f t="shared" si="13"/>
        <v>Valid</v>
      </c>
      <c r="N261">
        <v>11</v>
      </c>
      <c r="O261" s="1" t="str">
        <f t="shared" si="14"/>
        <v>Valid</v>
      </c>
      <c r="P261" t="s">
        <v>11</v>
      </c>
      <c r="Q261" s="1" t="str">
        <v>Radio/Tv</v>
      </c>
      <c r="R261">
        <v>1</v>
      </c>
      <c r="S261" s="2" t="s">
        <v>34</v>
      </c>
    </row>
    <row r="262" spans="1:19" x14ac:dyDescent="0.35">
      <c r="A262">
        <v>27</v>
      </c>
      <c r="B262" s="2" t="s">
        <v>38</v>
      </c>
      <c r="C262" t="s">
        <v>19</v>
      </c>
      <c r="D262" s="1" t="str">
        <v>Male</v>
      </c>
      <c r="E262">
        <v>2</v>
      </c>
      <c r="F262" t="s">
        <v>21</v>
      </c>
      <c r="G262" t="s">
        <v>24</v>
      </c>
      <c r="H262" t="s">
        <v>24</v>
      </c>
      <c r="I262">
        <v>1657</v>
      </c>
      <c r="J262" s="2" t="s">
        <v>41</v>
      </c>
      <c r="K262" s="1" t="str">
        <f t="shared" si="12"/>
        <v>Has Spaces</v>
      </c>
      <c r="L262" s="1" t="b">
        <v>1</v>
      </c>
      <c r="M262" s="1" t="str">
        <f t="shared" si="13"/>
        <v>Valid</v>
      </c>
      <c r="N262">
        <v>12</v>
      </c>
      <c r="O262" s="1" t="str">
        <f t="shared" si="14"/>
        <v>Valid</v>
      </c>
      <c r="P262" t="s">
        <v>13</v>
      </c>
      <c r="Q262" s="1" t="str">
        <v>Furniture/Equipment</v>
      </c>
      <c r="R262">
        <v>1</v>
      </c>
      <c r="S262" s="2" t="s">
        <v>34</v>
      </c>
    </row>
    <row r="263" spans="1:19" x14ac:dyDescent="0.35">
      <c r="A263">
        <v>55</v>
      </c>
      <c r="B263" s="2" t="s">
        <v>37</v>
      </c>
      <c r="C263" t="s">
        <v>20</v>
      </c>
      <c r="D263" s="1" t="str">
        <v>Female</v>
      </c>
      <c r="E263">
        <v>2</v>
      </c>
      <c r="F263" t="s">
        <v>21</v>
      </c>
      <c r="G263" t="s">
        <v>24</v>
      </c>
      <c r="H263" t="s">
        <v>24</v>
      </c>
      <c r="I263">
        <v>1603</v>
      </c>
      <c r="J263" s="2" t="s">
        <v>41</v>
      </c>
      <c r="K263" s="1" t="str">
        <f t="shared" si="12"/>
        <v>Has Spaces</v>
      </c>
      <c r="L263" s="1" t="b">
        <v>1</v>
      </c>
      <c r="M263" s="1" t="str">
        <f t="shared" si="13"/>
        <v>Valid</v>
      </c>
      <c r="N263">
        <v>24</v>
      </c>
      <c r="O263" s="1" t="str">
        <f t="shared" si="14"/>
        <v>Valid</v>
      </c>
      <c r="P263" t="s">
        <v>11</v>
      </c>
      <c r="Q263" s="1" t="str">
        <v>Radio/Tv</v>
      </c>
      <c r="R263">
        <v>1</v>
      </c>
      <c r="S263" s="2" t="s">
        <v>34</v>
      </c>
    </row>
    <row r="264" spans="1:19" x14ac:dyDescent="0.35">
      <c r="A264">
        <v>36</v>
      </c>
      <c r="B264" s="2" t="s">
        <v>39</v>
      </c>
      <c r="C264" t="s">
        <v>19</v>
      </c>
      <c r="D264" s="1" t="str">
        <v>Male</v>
      </c>
      <c r="E264">
        <v>3</v>
      </c>
      <c r="F264" t="s">
        <v>22</v>
      </c>
      <c r="G264" t="s">
        <v>24</v>
      </c>
      <c r="H264" t="s">
        <v>24</v>
      </c>
      <c r="I264">
        <v>5302</v>
      </c>
      <c r="J264" s="2" t="s">
        <v>42</v>
      </c>
      <c r="K264" s="1" t="str">
        <f t="shared" si="12"/>
        <v>Clean</v>
      </c>
      <c r="L264" s="1" t="b">
        <v>1</v>
      </c>
      <c r="M264" s="1" t="str">
        <f t="shared" si="13"/>
        <v>Valid</v>
      </c>
      <c r="N264">
        <v>18</v>
      </c>
      <c r="O264" s="1" t="str">
        <f t="shared" si="14"/>
        <v>Valid</v>
      </c>
      <c r="P264" t="s">
        <v>14</v>
      </c>
      <c r="Q264" s="1" t="str">
        <v>Car</v>
      </c>
      <c r="R264">
        <v>1</v>
      </c>
      <c r="S264" s="2" t="s">
        <v>34</v>
      </c>
    </row>
    <row r="265" spans="1:19" x14ac:dyDescent="0.35">
      <c r="A265">
        <v>57</v>
      </c>
      <c r="B265" s="2" t="s">
        <v>37</v>
      </c>
      <c r="C265" t="s">
        <v>20</v>
      </c>
      <c r="D265" s="1" t="str">
        <v>Female</v>
      </c>
      <c r="E265">
        <v>1</v>
      </c>
      <c r="F265" t="s">
        <v>22</v>
      </c>
      <c r="G265" t="s">
        <v>24</v>
      </c>
      <c r="H265" t="s">
        <v>10</v>
      </c>
      <c r="I265">
        <v>2748</v>
      </c>
      <c r="J265" s="2" t="s">
        <v>43</v>
      </c>
      <c r="K265" s="1" t="str">
        <f t="shared" si="12"/>
        <v>Clean</v>
      </c>
      <c r="L265" s="1" t="b">
        <v>1</v>
      </c>
      <c r="M265" s="1" t="str">
        <f t="shared" si="13"/>
        <v>Valid</v>
      </c>
      <c r="N265">
        <v>12</v>
      </c>
      <c r="O265" s="1" t="str">
        <f t="shared" si="14"/>
        <v>Valid</v>
      </c>
      <c r="P265" t="s">
        <v>12</v>
      </c>
      <c r="Q265" s="1" t="str">
        <v>Education</v>
      </c>
      <c r="R265">
        <v>1</v>
      </c>
      <c r="S265" s="2" t="s">
        <v>34</v>
      </c>
    </row>
    <row r="266" spans="1:19" x14ac:dyDescent="0.35">
      <c r="A266">
        <v>32</v>
      </c>
      <c r="B266" s="2" t="s">
        <v>39</v>
      </c>
      <c r="C266" t="s">
        <v>19</v>
      </c>
      <c r="D266" s="1" t="str">
        <v>Male</v>
      </c>
      <c r="E266">
        <v>1</v>
      </c>
      <c r="F266" t="s">
        <v>21</v>
      </c>
      <c r="G266" t="s">
        <v>24</v>
      </c>
      <c r="H266" t="s">
        <v>10</v>
      </c>
      <c r="I266">
        <v>1231</v>
      </c>
      <c r="J266" s="2" t="s">
        <v>41</v>
      </c>
      <c r="K266" s="1" t="str">
        <f t="shared" si="12"/>
        <v>Has Spaces</v>
      </c>
      <c r="L266" s="1" t="b">
        <v>1</v>
      </c>
      <c r="M266" s="1" t="str">
        <f t="shared" si="13"/>
        <v>Valid</v>
      </c>
      <c r="N266">
        <v>10</v>
      </c>
      <c r="O266" s="1" t="str">
        <f t="shared" si="14"/>
        <v>Valid</v>
      </c>
      <c r="P266" t="s">
        <v>14</v>
      </c>
      <c r="Q266" s="1" t="str">
        <v>Car</v>
      </c>
      <c r="R266">
        <v>1</v>
      </c>
      <c r="S266" s="2" t="s">
        <v>34</v>
      </c>
    </row>
    <row r="267" spans="1:19" x14ac:dyDescent="0.35">
      <c r="A267">
        <v>37</v>
      </c>
      <c r="B267" s="2" t="s">
        <v>39</v>
      </c>
      <c r="C267" t="s">
        <v>19</v>
      </c>
      <c r="D267" s="1" t="str">
        <v>Male</v>
      </c>
      <c r="E267">
        <v>2</v>
      </c>
      <c r="F267" t="s">
        <v>21</v>
      </c>
      <c r="G267" t="s">
        <v>24</v>
      </c>
      <c r="H267" t="s">
        <v>27</v>
      </c>
      <c r="I267">
        <v>802</v>
      </c>
      <c r="J267" s="2" t="s">
        <v>41</v>
      </c>
      <c r="K267" s="1" t="str">
        <f t="shared" si="12"/>
        <v>Has Spaces</v>
      </c>
      <c r="L267" s="1" t="b">
        <v>1</v>
      </c>
      <c r="M267" s="1" t="str">
        <f t="shared" si="13"/>
        <v>Valid</v>
      </c>
      <c r="N267">
        <v>15</v>
      </c>
      <c r="O267" s="1" t="str">
        <f t="shared" si="14"/>
        <v>Valid</v>
      </c>
      <c r="P267" t="s">
        <v>11</v>
      </c>
      <c r="Q267" s="1" t="str">
        <v>Radio/Tv</v>
      </c>
      <c r="R267">
        <v>2</v>
      </c>
      <c r="S267" s="2" t="s">
        <v>35</v>
      </c>
    </row>
    <row r="268" spans="1:19" x14ac:dyDescent="0.35">
      <c r="A268">
        <v>36</v>
      </c>
      <c r="B268" s="2" t="s">
        <v>39</v>
      </c>
      <c r="C268" t="s">
        <v>19</v>
      </c>
      <c r="D268" s="1" t="str">
        <v>Male</v>
      </c>
      <c r="E268">
        <v>2</v>
      </c>
      <c r="F268" t="s">
        <v>21</v>
      </c>
      <c r="G268" t="s">
        <v>10</v>
      </c>
      <c r="H268" t="s">
        <v>10</v>
      </c>
      <c r="I268">
        <v>6304</v>
      </c>
      <c r="J268" s="2" t="s">
        <v>42</v>
      </c>
      <c r="K268" s="1" t="str">
        <f t="shared" si="12"/>
        <v>Clean</v>
      </c>
      <c r="L268" s="1" t="b">
        <v>1</v>
      </c>
      <c r="M268" s="1" t="str">
        <f t="shared" si="13"/>
        <v>Valid</v>
      </c>
      <c r="N268">
        <v>36</v>
      </c>
      <c r="O268" s="1" t="str">
        <f t="shared" si="14"/>
        <v>Valid</v>
      </c>
      <c r="P268" t="s">
        <v>15</v>
      </c>
      <c r="Q268" s="1" t="str">
        <v>Business</v>
      </c>
      <c r="R268">
        <v>1</v>
      </c>
      <c r="S268" s="2" t="s">
        <v>34</v>
      </c>
    </row>
    <row r="269" spans="1:19" x14ac:dyDescent="0.35">
      <c r="A269">
        <v>38</v>
      </c>
      <c r="B269" s="2" t="s">
        <v>39</v>
      </c>
      <c r="C269" t="s">
        <v>20</v>
      </c>
      <c r="D269" s="1" t="str">
        <v>Female</v>
      </c>
      <c r="E269">
        <v>2</v>
      </c>
      <c r="F269" t="s">
        <v>21</v>
      </c>
      <c r="G269" t="s">
        <v>24</v>
      </c>
      <c r="H269" t="s">
        <v>10</v>
      </c>
      <c r="I269">
        <v>1533</v>
      </c>
      <c r="J269" s="2" t="s">
        <v>41</v>
      </c>
      <c r="K269" s="1" t="str">
        <f t="shared" si="12"/>
        <v>Has Spaces</v>
      </c>
      <c r="L269" s="1" t="b">
        <v>1</v>
      </c>
      <c r="M269" s="1" t="str">
        <f t="shared" si="13"/>
        <v>Valid</v>
      </c>
      <c r="N269">
        <v>24</v>
      </c>
      <c r="O269" s="1" t="str">
        <f t="shared" si="14"/>
        <v>Valid</v>
      </c>
      <c r="P269" t="s">
        <v>11</v>
      </c>
      <c r="Q269" s="1" t="str">
        <v>Radio/Tv</v>
      </c>
      <c r="R269">
        <v>1</v>
      </c>
      <c r="S269" s="2" t="s">
        <v>34</v>
      </c>
    </row>
    <row r="270" spans="1:19" x14ac:dyDescent="0.35">
      <c r="A270">
        <v>45</v>
      </c>
      <c r="B270" s="2" t="s">
        <v>39</v>
      </c>
      <c r="C270" t="s">
        <v>19</v>
      </c>
      <c r="D270" s="1" t="str">
        <v>Male</v>
      </c>
      <c r="E270">
        <v>3</v>
      </c>
      <c r="F270" t="s">
        <v>21</v>
      </c>
      <c r="G270" t="s">
        <v>24</v>
      </c>
      <c r="H270" t="s">
        <v>24</v>
      </c>
      <c r="I270">
        <v>8978</v>
      </c>
      <c r="J270" s="2" t="s">
        <v>42</v>
      </c>
      <c r="K270" s="1" t="str">
        <f t="shared" si="12"/>
        <v>Clean</v>
      </c>
      <c r="L270" s="1" t="b">
        <v>1</v>
      </c>
      <c r="M270" s="1" t="str">
        <f t="shared" si="13"/>
        <v>Valid</v>
      </c>
      <c r="N270">
        <v>14</v>
      </c>
      <c r="O270" s="1" t="str">
        <f t="shared" si="14"/>
        <v>Valid</v>
      </c>
      <c r="P270" t="s">
        <v>14</v>
      </c>
      <c r="Q270" s="1" t="str">
        <v>Car</v>
      </c>
      <c r="R270">
        <v>2</v>
      </c>
      <c r="S270" s="2" t="s">
        <v>35</v>
      </c>
    </row>
    <row r="271" spans="1:19" x14ac:dyDescent="0.35">
      <c r="A271">
        <v>25</v>
      </c>
      <c r="B271" s="2" t="s">
        <v>38</v>
      </c>
      <c r="C271" t="s">
        <v>19</v>
      </c>
      <c r="D271" s="1" t="str">
        <v>Male</v>
      </c>
      <c r="E271">
        <v>2</v>
      </c>
      <c r="F271" t="s">
        <v>21</v>
      </c>
      <c r="G271" t="s">
        <v>10</v>
      </c>
      <c r="H271" t="s">
        <v>10</v>
      </c>
      <c r="I271">
        <v>999</v>
      </c>
      <c r="J271" s="2" t="s">
        <v>41</v>
      </c>
      <c r="K271" s="1" t="str">
        <f t="shared" si="12"/>
        <v>Has Spaces</v>
      </c>
      <c r="L271" s="1" t="b">
        <v>1</v>
      </c>
      <c r="M271" s="1" t="str">
        <f t="shared" si="13"/>
        <v>Valid</v>
      </c>
      <c r="N271">
        <v>24</v>
      </c>
      <c r="O271" s="1" t="str">
        <f t="shared" si="14"/>
        <v>Valid</v>
      </c>
      <c r="P271" t="s">
        <v>11</v>
      </c>
      <c r="Q271" s="1" t="str">
        <v>Radio/Tv</v>
      </c>
      <c r="R271">
        <v>1</v>
      </c>
      <c r="S271" s="2" t="s">
        <v>34</v>
      </c>
    </row>
    <row r="272" spans="1:19" x14ac:dyDescent="0.35">
      <c r="A272">
        <v>32</v>
      </c>
      <c r="B272" s="2" t="s">
        <v>39</v>
      </c>
      <c r="C272" t="s">
        <v>19</v>
      </c>
      <c r="D272" s="1" t="str">
        <v>Male</v>
      </c>
      <c r="E272">
        <v>2</v>
      </c>
      <c r="F272" t="s">
        <v>21</v>
      </c>
      <c r="G272" t="s">
        <v>10</v>
      </c>
      <c r="H272" t="s">
        <v>10</v>
      </c>
      <c r="I272">
        <v>2662</v>
      </c>
      <c r="J272" s="2" t="s">
        <v>43</v>
      </c>
      <c r="K272" s="1" t="str">
        <f t="shared" si="12"/>
        <v>Clean</v>
      </c>
      <c r="L272" s="1" t="b">
        <v>1</v>
      </c>
      <c r="M272" s="1" t="str">
        <f t="shared" si="13"/>
        <v>Valid</v>
      </c>
      <c r="N272">
        <v>18</v>
      </c>
      <c r="O272" s="1" t="str">
        <f t="shared" si="14"/>
        <v>Valid</v>
      </c>
      <c r="P272" t="s">
        <v>14</v>
      </c>
      <c r="Q272" s="1" t="str">
        <v>Car</v>
      </c>
      <c r="R272">
        <v>1</v>
      </c>
      <c r="S272" s="2" t="s">
        <v>34</v>
      </c>
    </row>
    <row r="273" spans="1:19" x14ac:dyDescent="0.35">
      <c r="A273">
        <v>37</v>
      </c>
      <c r="B273" s="2" t="s">
        <v>39</v>
      </c>
      <c r="C273" t="s">
        <v>20</v>
      </c>
      <c r="D273" s="1" t="str">
        <v>Female</v>
      </c>
      <c r="E273">
        <v>2</v>
      </c>
      <c r="F273" t="s">
        <v>23</v>
      </c>
      <c r="G273" t="s">
        <v>25</v>
      </c>
      <c r="H273" t="s">
        <v>10</v>
      </c>
      <c r="I273">
        <v>1402</v>
      </c>
      <c r="J273" s="2" t="s">
        <v>41</v>
      </c>
      <c r="K273" s="1" t="str">
        <f t="shared" si="12"/>
        <v>Has Spaces</v>
      </c>
      <c r="L273" s="1" t="b">
        <v>1</v>
      </c>
      <c r="M273" s="1" t="str">
        <f t="shared" si="13"/>
        <v>Valid</v>
      </c>
      <c r="N273">
        <v>12</v>
      </c>
      <c r="O273" s="1" t="str">
        <f t="shared" si="14"/>
        <v>Valid</v>
      </c>
      <c r="P273" t="s">
        <v>13</v>
      </c>
      <c r="Q273" s="1" t="str">
        <v>Furniture/Equipment</v>
      </c>
      <c r="R273">
        <v>1</v>
      </c>
      <c r="S273" s="2" t="s">
        <v>34</v>
      </c>
    </row>
    <row r="274" spans="1:19" x14ac:dyDescent="0.35">
      <c r="A274">
        <v>36</v>
      </c>
      <c r="B274" s="2" t="s">
        <v>39</v>
      </c>
      <c r="C274" t="s">
        <v>19</v>
      </c>
      <c r="D274" s="1" t="str">
        <v>Male</v>
      </c>
      <c r="E274">
        <v>3</v>
      </c>
      <c r="F274" t="s">
        <v>22</v>
      </c>
      <c r="G274" t="s">
        <v>10</v>
      </c>
      <c r="H274" t="s">
        <v>27</v>
      </c>
      <c r="I274">
        <v>12169</v>
      </c>
      <c r="J274" s="2" t="s">
        <v>42</v>
      </c>
      <c r="K274" s="1" t="str">
        <f t="shared" si="12"/>
        <v>Clean</v>
      </c>
      <c r="L274" s="1" t="b">
        <v>1</v>
      </c>
      <c r="M274" s="1" t="str">
        <f t="shared" si="13"/>
        <v>Valid</v>
      </c>
      <c r="N274">
        <v>48</v>
      </c>
      <c r="O274" s="1" t="str">
        <f t="shared" si="14"/>
        <v>Valid</v>
      </c>
      <c r="P274" t="s">
        <v>14</v>
      </c>
      <c r="Q274" s="1" t="str">
        <v>Car</v>
      </c>
      <c r="R274">
        <v>1</v>
      </c>
      <c r="S274" s="2" t="s">
        <v>34</v>
      </c>
    </row>
    <row r="275" spans="1:19" x14ac:dyDescent="0.35">
      <c r="A275">
        <v>28</v>
      </c>
      <c r="B275" s="2" t="s">
        <v>38</v>
      </c>
      <c r="C275" t="s">
        <v>19</v>
      </c>
      <c r="D275" s="1" t="str">
        <v>Male</v>
      </c>
      <c r="E275">
        <v>2</v>
      </c>
      <c r="F275" t="s">
        <v>21</v>
      </c>
      <c r="G275" t="s">
        <v>24</v>
      </c>
      <c r="H275" t="s">
        <v>27</v>
      </c>
      <c r="I275">
        <v>3060</v>
      </c>
      <c r="J275" s="2" t="s">
        <v>43</v>
      </c>
      <c r="K275" s="1" t="str">
        <f t="shared" si="12"/>
        <v>Clean</v>
      </c>
      <c r="L275" s="1" t="b">
        <v>1</v>
      </c>
      <c r="M275" s="1" t="str">
        <f t="shared" si="13"/>
        <v>Valid</v>
      </c>
      <c r="N275">
        <v>48</v>
      </c>
      <c r="O275" s="1" t="str">
        <f t="shared" si="14"/>
        <v>Valid</v>
      </c>
      <c r="P275" t="s">
        <v>11</v>
      </c>
      <c r="Q275" s="1" t="str">
        <v>Radio/Tv</v>
      </c>
      <c r="R275">
        <v>2</v>
      </c>
      <c r="S275" s="2" t="s">
        <v>35</v>
      </c>
    </row>
    <row r="276" spans="1:19" x14ac:dyDescent="0.35">
      <c r="A276">
        <v>34</v>
      </c>
      <c r="B276" s="2" t="s">
        <v>39</v>
      </c>
      <c r="C276" t="s">
        <v>19</v>
      </c>
      <c r="D276" s="1" t="str">
        <v>Male</v>
      </c>
      <c r="E276">
        <v>1</v>
      </c>
      <c r="F276" t="s">
        <v>21</v>
      </c>
      <c r="G276" t="s">
        <v>24</v>
      </c>
      <c r="H276" t="s">
        <v>24</v>
      </c>
      <c r="I276">
        <v>11998</v>
      </c>
      <c r="J276" s="2" t="s">
        <v>42</v>
      </c>
      <c r="K276" s="1" t="str">
        <f t="shared" si="12"/>
        <v>Clean</v>
      </c>
      <c r="L276" s="1" t="b">
        <v>1</v>
      </c>
      <c r="M276" s="1" t="str">
        <f t="shared" si="13"/>
        <v>Valid</v>
      </c>
      <c r="N276">
        <v>30</v>
      </c>
      <c r="O276" s="1" t="str">
        <f t="shared" si="14"/>
        <v>Valid</v>
      </c>
      <c r="P276" t="s">
        <v>17</v>
      </c>
      <c r="Q276" s="1" t="str">
        <v>Repairs</v>
      </c>
      <c r="R276">
        <v>2</v>
      </c>
      <c r="S276" s="2" t="s">
        <v>35</v>
      </c>
    </row>
    <row r="277" spans="1:19" x14ac:dyDescent="0.35">
      <c r="A277">
        <v>32</v>
      </c>
      <c r="B277" s="2" t="s">
        <v>39</v>
      </c>
      <c r="C277" t="s">
        <v>19</v>
      </c>
      <c r="D277" s="1" t="str">
        <v>Male</v>
      </c>
      <c r="E277">
        <v>2</v>
      </c>
      <c r="F277" t="s">
        <v>21</v>
      </c>
      <c r="G277" t="s">
        <v>24</v>
      </c>
      <c r="H277" t="s">
        <v>10</v>
      </c>
      <c r="I277">
        <v>2697</v>
      </c>
      <c r="J277" s="2" t="s">
        <v>43</v>
      </c>
      <c r="K277" s="1" t="str">
        <f t="shared" si="12"/>
        <v>Clean</v>
      </c>
      <c r="L277" s="1" t="b">
        <v>1</v>
      </c>
      <c r="M277" s="1" t="str">
        <f t="shared" si="13"/>
        <v>Valid</v>
      </c>
      <c r="N277">
        <v>9</v>
      </c>
      <c r="O277" s="1" t="str">
        <f t="shared" si="14"/>
        <v>Valid</v>
      </c>
      <c r="P277" t="s">
        <v>11</v>
      </c>
      <c r="Q277" s="1" t="str">
        <v>Radio/Tv</v>
      </c>
      <c r="R277">
        <v>1</v>
      </c>
      <c r="S277" s="2" t="s">
        <v>34</v>
      </c>
    </row>
    <row r="278" spans="1:19" x14ac:dyDescent="0.35">
      <c r="A278">
        <v>26</v>
      </c>
      <c r="B278" s="2" t="s">
        <v>38</v>
      </c>
      <c r="C278" t="s">
        <v>20</v>
      </c>
      <c r="D278" s="1" t="str">
        <v>Female</v>
      </c>
      <c r="E278">
        <v>2</v>
      </c>
      <c r="F278" t="s">
        <v>21</v>
      </c>
      <c r="G278" t="s">
        <v>24</v>
      </c>
      <c r="H278" t="s">
        <v>10</v>
      </c>
      <c r="I278">
        <v>2404</v>
      </c>
      <c r="J278" s="2" t="s">
        <v>43</v>
      </c>
      <c r="K278" s="1" t="str">
        <f t="shared" si="12"/>
        <v>Clean</v>
      </c>
      <c r="L278" s="1" t="b">
        <v>1</v>
      </c>
      <c r="M278" s="1" t="str">
        <f t="shared" si="13"/>
        <v>Valid</v>
      </c>
      <c r="N278">
        <v>18</v>
      </c>
      <c r="O278" s="1" t="str">
        <f t="shared" si="14"/>
        <v>Valid</v>
      </c>
      <c r="P278" t="s">
        <v>11</v>
      </c>
      <c r="Q278" s="1" t="str">
        <v>Radio/Tv</v>
      </c>
      <c r="R278">
        <v>1</v>
      </c>
      <c r="S278" s="2" t="s">
        <v>34</v>
      </c>
    </row>
    <row r="279" spans="1:19" x14ac:dyDescent="0.35">
      <c r="A279">
        <v>49</v>
      </c>
      <c r="B279" s="2" t="s">
        <v>39</v>
      </c>
      <c r="C279" t="s">
        <v>19</v>
      </c>
      <c r="D279" s="1" t="str">
        <v>Male</v>
      </c>
      <c r="E279">
        <v>1</v>
      </c>
      <c r="F279" t="s">
        <v>21</v>
      </c>
      <c r="G279" t="s">
        <v>10</v>
      </c>
      <c r="H279" t="s">
        <v>24</v>
      </c>
      <c r="I279">
        <v>1262</v>
      </c>
      <c r="J279" s="2" t="s">
        <v>41</v>
      </c>
      <c r="K279" s="1" t="str">
        <f t="shared" si="12"/>
        <v>Has Spaces</v>
      </c>
      <c r="L279" s="1" t="b">
        <v>1</v>
      </c>
      <c r="M279" s="1" t="str">
        <f t="shared" si="13"/>
        <v>Valid</v>
      </c>
      <c r="N279">
        <v>12</v>
      </c>
      <c r="O279" s="1" t="str">
        <f t="shared" si="14"/>
        <v>Valid</v>
      </c>
      <c r="P279" t="s">
        <v>13</v>
      </c>
      <c r="Q279" s="1" t="str">
        <v>Furniture/Equipment</v>
      </c>
      <c r="R279">
        <v>1</v>
      </c>
      <c r="S279" s="2" t="s">
        <v>34</v>
      </c>
    </row>
    <row r="280" spans="1:19" x14ac:dyDescent="0.35">
      <c r="A280">
        <v>32</v>
      </c>
      <c r="B280" s="2" t="s">
        <v>39</v>
      </c>
      <c r="C280" t="s">
        <v>20</v>
      </c>
      <c r="D280" s="1" t="str">
        <v>Female</v>
      </c>
      <c r="E280">
        <v>2</v>
      </c>
      <c r="F280" t="s">
        <v>21</v>
      </c>
      <c r="G280" t="s">
        <v>24</v>
      </c>
      <c r="H280" t="s">
        <v>10</v>
      </c>
      <c r="I280">
        <v>4611</v>
      </c>
      <c r="J280" s="2" t="s">
        <v>43</v>
      </c>
      <c r="K280" s="1" t="str">
        <f t="shared" si="12"/>
        <v>Clean</v>
      </c>
      <c r="L280" s="1" t="b">
        <v>1</v>
      </c>
      <c r="M280" s="1" t="str">
        <f t="shared" si="13"/>
        <v>Valid</v>
      </c>
      <c r="N280">
        <v>6</v>
      </c>
      <c r="O280" s="1" t="str">
        <f t="shared" si="14"/>
        <v>Valid</v>
      </c>
      <c r="P280" t="s">
        <v>13</v>
      </c>
      <c r="Q280" s="1" t="str">
        <v>Furniture/Equipment</v>
      </c>
      <c r="R280">
        <v>2</v>
      </c>
      <c r="S280" s="2" t="s">
        <v>35</v>
      </c>
    </row>
    <row r="281" spans="1:19" x14ac:dyDescent="0.35">
      <c r="A281">
        <v>29</v>
      </c>
      <c r="B281" s="2" t="s">
        <v>38</v>
      </c>
      <c r="C281" t="s">
        <v>19</v>
      </c>
      <c r="D281" s="1" t="str">
        <v>Male</v>
      </c>
      <c r="E281">
        <v>3</v>
      </c>
      <c r="F281" t="s">
        <v>23</v>
      </c>
      <c r="G281" t="s">
        <v>27</v>
      </c>
      <c r="H281" t="s">
        <v>10</v>
      </c>
      <c r="I281">
        <v>1901</v>
      </c>
      <c r="J281" s="2" t="s">
        <v>41</v>
      </c>
      <c r="K281" s="1" t="str">
        <f t="shared" si="12"/>
        <v>Has Spaces</v>
      </c>
      <c r="L281" s="1" t="b">
        <v>1</v>
      </c>
      <c r="M281" s="1" t="str">
        <f t="shared" si="13"/>
        <v>Valid</v>
      </c>
      <c r="N281">
        <v>24</v>
      </c>
      <c r="O281" s="1" t="str">
        <f t="shared" si="14"/>
        <v>Valid</v>
      </c>
      <c r="P281" t="s">
        <v>11</v>
      </c>
      <c r="Q281" s="1" t="str">
        <v>Radio/Tv</v>
      </c>
      <c r="R281">
        <v>1</v>
      </c>
      <c r="S281" s="2" t="s">
        <v>34</v>
      </c>
    </row>
    <row r="282" spans="1:19" x14ac:dyDescent="0.35">
      <c r="A282">
        <v>23</v>
      </c>
      <c r="B282" s="2" t="s">
        <v>38</v>
      </c>
      <c r="C282" t="s">
        <v>19</v>
      </c>
      <c r="D282" s="1" t="str">
        <v>Male</v>
      </c>
      <c r="E282">
        <v>2</v>
      </c>
      <c r="F282" t="s">
        <v>23</v>
      </c>
      <c r="G282" t="s">
        <v>26</v>
      </c>
      <c r="H282" t="s">
        <v>10</v>
      </c>
      <c r="I282">
        <v>3368</v>
      </c>
      <c r="J282" s="2" t="s">
        <v>43</v>
      </c>
      <c r="K282" s="1" t="str">
        <f t="shared" si="12"/>
        <v>Clean</v>
      </c>
      <c r="L282" s="1" t="b">
        <v>1</v>
      </c>
      <c r="M282" s="1" t="str">
        <f t="shared" si="13"/>
        <v>Valid</v>
      </c>
      <c r="N282">
        <v>15</v>
      </c>
      <c r="O282" s="1" t="str">
        <f t="shared" si="14"/>
        <v>Valid</v>
      </c>
      <c r="P282" t="s">
        <v>14</v>
      </c>
      <c r="Q282" s="1" t="str">
        <v>Car</v>
      </c>
      <c r="R282">
        <v>1</v>
      </c>
      <c r="S282" s="2" t="s">
        <v>34</v>
      </c>
    </row>
    <row r="283" spans="1:19" x14ac:dyDescent="0.35">
      <c r="A283">
        <v>50</v>
      </c>
      <c r="B283" s="2" t="s">
        <v>37</v>
      </c>
      <c r="C283" t="s">
        <v>19</v>
      </c>
      <c r="D283" s="1" t="str">
        <v>Male</v>
      </c>
      <c r="E283">
        <v>2</v>
      </c>
      <c r="F283" t="s">
        <v>21</v>
      </c>
      <c r="G283" t="s">
        <v>24</v>
      </c>
      <c r="H283" t="s">
        <v>10</v>
      </c>
      <c r="I283">
        <v>1574</v>
      </c>
      <c r="J283" s="2" t="s">
        <v>41</v>
      </c>
      <c r="K283" s="1" t="str">
        <f t="shared" si="12"/>
        <v>Has Spaces</v>
      </c>
      <c r="L283" s="1" t="b">
        <v>1</v>
      </c>
      <c r="M283" s="1" t="str">
        <f t="shared" si="13"/>
        <v>Valid</v>
      </c>
      <c r="N283">
        <v>12</v>
      </c>
      <c r="O283" s="1" t="str">
        <f t="shared" si="14"/>
        <v>Valid</v>
      </c>
      <c r="P283" t="s">
        <v>13</v>
      </c>
      <c r="Q283" s="1" t="str">
        <v>Furniture/Equipment</v>
      </c>
      <c r="R283">
        <v>1</v>
      </c>
      <c r="S283" s="2" t="s">
        <v>34</v>
      </c>
    </row>
    <row r="284" spans="1:19" x14ac:dyDescent="0.35">
      <c r="A284">
        <v>49</v>
      </c>
      <c r="B284" s="2" t="s">
        <v>39</v>
      </c>
      <c r="C284" t="s">
        <v>19</v>
      </c>
      <c r="D284" s="1" t="str">
        <v>Male</v>
      </c>
      <c r="E284">
        <v>1</v>
      </c>
      <c r="F284" t="s">
        <v>21</v>
      </c>
      <c r="G284" t="s">
        <v>10</v>
      </c>
      <c r="H284" t="s">
        <v>26</v>
      </c>
      <c r="I284">
        <v>1445</v>
      </c>
      <c r="J284" s="2" t="s">
        <v>41</v>
      </c>
      <c r="K284" s="1" t="str">
        <f t="shared" si="12"/>
        <v>Has Spaces</v>
      </c>
      <c r="L284" s="1" t="b">
        <v>1</v>
      </c>
      <c r="M284" s="1" t="str">
        <f t="shared" si="13"/>
        <v>Valid</v>
      </c>
      <c r="N284">
        <v>18</v>
      </c>
      <c r="O284" s="1" t="str">
        <f t="shared" si="14"/>
        <v>Valid</v>
      </c>
      <c r="P284" t="s">
        <v>11</v>
      </c>
      <c r="Q284" s="1" t="str">
        <v>Radio/Tv</v>
      </c>
      <c r="R284">
        <v>1</v>
      </c>
      <c r="S284" s="2" t="s">
        <v>34</v>
      </c>
    </row>
    <row r="285" spans="1:19" x14ac:dyDescent="0.35">
      <c r="A285">
        <v>63</v>
      </c>
      <c r="B285" s="2" t="s">
        <v>37</v>
      </c>
      <c r="C285" t="s">
        <v>19</v>
      </c>
      <c r="D285" s="1" t="str">
        <v>Male</v>
      </c>
      <c r="E285">
        <v>2</v>
      </c>
      <c r="F285" t="s">
        <v>21</v>
      </c>
      <c r="G285" t="s">
        <v>10</v>
      </c>
      <c r="H285" t="s">
        <v>10</v>
      </c>
      <c r="I285">
        <v>1520</v>
      </c>
      <c r="J285" s="2" t="s">
        <v>41</v>
      </c>
      <c r="K285" s="1" t="str">
        <f t="shared" si="12"/>
        <v>Has Spaces</v>
      </c>
      <c r="L285" s="1" t="b">
        <v>1</v>
      </c>
      <c r="M285" s="1" t="str">
        <f t="shared" si="13"/>
        <v>Valid</v>
      </c>
      <c r="N285">
        <v>15</v>
      </c>
      <c r="O285" s="1" t="str">
        <f t="shared" si="14"/>
        <v>Valid</v>
      </c>
      <c r="P285" t="s">
        <v>13</v>
      </c>
      <c r="Q285" s="1" t="str">
        <v>Furniture/Equipment</v>
      </c>
      <c r="R285">
        <v>1</v>
      </c>
      <c r="S285" s="2" t="s">
        <v>34</v>
      </c>
    </row>
    <row r="286" spans="1:19" x14ac:dyDescent="0.35">
      <c r="A286">
        <v>37</v>
      </c>
      <c r="B286" s="2" t="s">
        <v>39</v>
      </c>
      <c r="C286" t="s">
        <v>19</v>
      </c>
      <c r="D286" s="1" t="str">
        <v>Male</v>
      </c>
      <c r="E286">
        <v>2</v>
      </c>
      <c r="F286" t="s">
        <v>21</v>
      </c>
      <c r="G286" t="s">
        <v>27</v>
      </c>
      <c r="H286" t="s">
        <v>27</v>
      </c>
      <c r="I286">
        <v>3878</v>
      </c>
      <c r="J286" s="2" t="s">
        <v>43</v>
      </c>
      <c r="K286" s="1" t="str">
        <f t="shared" si="12"/>
        <v>Clean</v>
      </c>
      <c r="L286" s="1" t="b">
        <v>1</v>
      </c>
      <c r="M286" s="1" t="str">
        <f t="shared" si="13"/>
        <v>Valid</v>
      </c>
      <c r="N286">
        <v>24</v>
      </c>
      <c r="O286" s="1" t="str">
        <f t="shared" si="14"/>
        <v>Valid</v>
      </c>
      <c r="P286" t="s">
        <v>14</v>
      </c>
      <c r="Q286" s="1" t="str">
        <v>Car</v>
      </c>
      <c r="R286">
        <v>1</v>
      </c>
      <c r="S286" s="2" t="s">
        <v>34</v>
      </c>
    </row>
    <row r="287" spans="1:19" x14ac:dyDescent="0.35">
      <c r="A287">
        <v>35</v>
      </c>
      <c r="B287" s="2" t="s">
        <v>39</v>
      </c>
      <c r="C287" t="s">
        <v>20</v>
      </c>
      <c r="D287" s="1" t="str">
        <v>Female</v>
      </c>
      <c r="E287">
        <v>1</v>
      </c>
      <c r="F287" t="s">
        <v>21</v>
      </c>
      <c r="G287" t="s">
        <v>24</v>
      </c>
      <c r="H287" t="s">
        <v>24</v>
      </c>
      <c r="I287">
        <v>10722</v>
      </c>
      <c r="J287" s="2" t="s">
        <v>42</v>
      </c>
      <c r="K287" s="1" t="str">
        <f t="shared" si="12"/>
        <v>Clean</v>
      </c>
      <c r="L287" s="1" t="b">
        <v>1</v>
      </c>
      <c r="M287" s="1" t="str">
        <f t="shared" si="13"/>
        <v>Valid</v>
      </c>
      <c r="N287">
        <v>47</v>
      </c>
      <c r="O287" s="1" t="str">
        <f t="shared" si="14"/>
        <v>Valid</v>
      </c>
      <c r="P287" t="s">
        <v>14</v>
      </c>
      <c r="Q287" s="1" t="str">
        <v>Car</v>
      </c>
      <c r="R287">
        <v>1</v>
      </c>
      <c r="S287" s="2" t="s">
        <v>34</v>
      </c>
    </row>
    <row r="288" spans="1:19" x14ac:dyDescent="0.35">
      <c r="A288">
        <v>26</v>
      </c>
      <c r="B288" s="2" t="s">
        <v>38</v>
      </c>
      <c r="C288" t="s">
        <v>19</v>
      </c>
      <c r="D288" s="1" t="str">
        <v>Male</v>
      </c>
      <c r="E288">
        <v>2</v>
      </c>
      <c r="F288" t="s">
        <v>21</v>
      </c>
      <c r="G288" t="s">
        <v>24</v>
      </c>
      <c r="H288" t="s">
        <v>24</v>
      </c>
      <c r="I288">
        <v>4788</v>
      </c>
      <c r="J288" s="2" t="s">
        <v>43</v>
      </c>
      <c r="K288" s="1" t="str">
        <f t="shared" si="12"/>
        <v>Clean</v>
      </c>
      <c r="L288" s="1" t="b">
        <v>1</v>
      </c>
      <c r="M288" s="1" t="str">
        <f t="shared" si="13"/>
        <v>Valid</v>
      </c>
      <c r="N288">
        <v>48</v>
      </c>
      <c r="O288" s="1" t="str">
        <f t="shared" si="14"/>
        <v>Valid</v>
      </c>
      <c r="P288" t="s">
        <v>14</v>
      </c>
      <c r="Q288" s="1" t="str">
        <v>Car</v>
      </c>
      <c r="R288">
        <v>1</v>
      </c>
      <c r="S288" s="2" t="s">
        <v>34</v>
      </c>
    </row>
    <row r="289" spans="1:19" x14ac:dyDescent="0.35">
      <c r="A289">
        <v>31</v>
      </c>
      <c r="B289" s="2" t="s">
        <v>39</v>
      </c>
      <c r="C289" t="s">
        <v>19</v>
      </c>
      <c r="D289" s="1" t="str">
        <v>Male</v>
      </c>
      <c r="E289">
        <v>3</v>
      </c>
      <c r="F289" t="s">
        <v>22</v>
      </c>
      <c r="G289" t="s">
        <v>27</v>
      </c>
      <c r="H289" t="s">
        <v>27</v>
      </c>
      <c r="I289">
        <v>7582</v>
      </c>
      <c r="J289" s="2" t="s">
        <v>42</v>
      </c>
      <c r="K289" s="1" t="str">
        <f t="shared" si="12"/>
        <v>Clean</v>
      </c>
      <c r="L289" s="1" t="b">
        <v>1</v>
      </c>
      <c r="M289" s="1" t="str">
        <f t="shared" si="13"/>
        <v>Valid</v>
      </c>
      <c r="N289">
        <v>48</v>
      </c>
      <c r="O289" s="1" t="str">
        <f t="shared" si="14"/>
        <v>Valid</v>
      </c>
      <c r="P289" t="s">
        <v>18</v>
      </c>
      <c r="Q289" s="1" t="str">
        <v>Vacation/Others</v>
      </c>
      <c r="R289">
        <v>1</v>
      </c>
      <c r="S289" s="2" t="s">
        <v>34</v>
      </c>
    </row>
    <row r="290" spans="1:19" x14ac:dyDescent="0.35">
      <c r="A290">
        <v>49</v>
      </c>
      <c r="B290" s="2" t="s">
        <v>39</v>
      </c>
      <c r="C290" t="s">
        <v>20</v>
      </c>
      <c r="D290" s="1" t="str">
        <v>Female</v>
      </c>
      <c r="E290">
        <v>2</v>
      </c>
      <c r="F290" t="s">
        <v>21</v>
      </c>
      <c r="G290" t="s">
        <v>24</v>
      </c>
      <c r="H290" t="s">
        <v>27</v>
      </c>
      <c r="I290">
        <v>1092</v>
      </c>
      <c r="J290" s="2" t="s">
        <v>41</v>
      </c>
      <c r="K290" s="1" t="str">
        <f t="shared" si="12"/>
        <v>Has Spaces</v>
      </c>
      <c r="L290" s="1" t="b">
        <v>1</v>
      </c>
      <c r="M290" s="1" t="str">
        <f t="shared" si="13"/>
        <v>Valid</v>
      </c>
      <c r="N290">
        <v>12</v>
      </c>
      <c r="O290" s="1" t="str">
        <f t="shared" si="14"/>
        <v>Valid</v>
      </c>
      <c r="P290" t="s">
        <v>11</v>
      </c>
      <c r="Q290" s="1" t="str">
        <v>Radio/Tv</v>
      </c>
      <c r="R290">
        <v>1</v>
      </c>
      <c r="S290" s="2" t="s">
        <v>34</v>
      </c>
    </row>
    <row r="291" spans="1:19" x14ac:dyDescent="0.35">
      <c r="A291">
        <v>48</v>
      </c>
      <c r="B291" s="2" t="s">
        <v>39</v>
      </c>
      <c r="C291" t="s">
        <v>19</v>
      </c>
      <c r="D291" s="1" t="str">
        <v>Male</v>
      </c>
      <c r="E291">
        <v>2</v>
      </c>
      <c r="F291" t="s">
        <v>21</v>
      </c>
      <c r="G291" t="s">
        <v>24</v>
      </c>
      <c r="H291" t="s">
        <v>24</v>
      </c>
      <c r="I291">
        <v>1024</v>
      </c>
      <c r="J291" s="2" t="s">
        <v>41</v>
      </c>
      <c r="K291" s="1" t="str">
        <f t="shared" si="12"/>
        <v>Has Spaces</v>
      </c>
      <c r="L291" s="1" t="b">
        <v>1</v>
      </c>
      <c r="M291" s="1" t="str">
        <f t="shared" si="13"/>
        <v>Valid</v>
      </c>
      <c r="N291">
        <v>24</v>
      </c>
      <c r="O291" s="1" t="str">
        <f t="shared" si="14"/>
        <v>Valid</v>
      </c>
      <c r="P291" t="s">
        <v>11</v>
      </c>
      <c r="Q291" s="1" t="str">
        <v>Radio/Tv</v>
      </c>
      <c r="R291">
        <v>2</v>
      </c>
      <c r="S291" s="2" t="s">
        <v>35</v>
      </c>
    </row>
    <row r="292" spans="1:19" x14ac:dyDescent="0.35">
      <c r="A292">
        <v>26</v>
      </c>
      <c r="B292" s="2" t="s">
        <v>38</v>
      </c>
      <c r="C292" t="s">
        <v>19</v>
      </c>
      <c r="D292" s="1" t="str">
        <v>Male</v>
      </c>
      <c r="E292">
        <v>2</v>
      </c>
      <c r="F292" t="s">
        <v>21</v>
      </c>
      <c r="G292" t="s">
        <v>24</v>
      </c>
      <c r="H292" t="s">
        <v>10</v>
      </c>
      <c r="I292">
        <v>1076</v>
      </c>
      <c r="J292" s="2" t="s">
        <v>41</v>
      </c>
      <c r="K292" s="1" t="str">
        <f t="shared" si="12"/>
        <v>Has Spaces</v>
      </c>
      <c r="L292" s="1" t="b">
        <v>1</v>
      </c>
      <c r="M292" s="1" t="str">
        <f t="shared" si="13"/>
        <v>Valid</v>
      </c>
      <c r="N292">
        <v>12</v>
      </c>
      <c r="O292" s="1" t="str">
        <f t="shared" si="14"/>
        <v>Valid</v>
      </c>
      <c r="P292" t="s">
        <v>15</v>
      </c>
      <c r="Q292" s="1" t="str">
        <v>Business</v>
      </c>
      <c r="R292">
        <v>1</v>
      </c>
      <c r="S292" s="2" t="s">
        <v>34</v>
      </c>
    </row>
    <row r="293" spans="1:19" x14ac:dyDescent="0.35">
      <c r="A293">
        <v>28</v>
      </c>
      <c r="B293" s="2" t="s">
        <v>38</v>
      </c>
      <c r="C293" t="s">
        <v>19</v>
      </c>
      <c r="D293" s="1" t="str">
        <v>Male</v>
      </c>
      <c r="E293">
        <v>3</v>
      </c>
      <c r="F293" t="s">
        <v>23</v>
      </c>
      <c r="G293" t="s">
        <v>24</v>
      </c>
      <c r="H293" t="s">
        <v>27</v>
      </c>
      <c r="I293">
        <v>9398</v>
      </c>
      <c r="J293" s="2" t="s">
        <v>42</v>
      </c>
      <c r="K293" s="1" t="str">
        <f t="shared" si="12"/>
        <v>Clean</v>
      </c>
      <c r="L293" s="1" t="b">
        <v>1</v>
      </c>
      <c r="M293" s="1" t="str">
        <f t="shared" si="13"/>
        <v>Valid</v>
      </c>
      <c r="N293">
        <v>36</v>
      </c>
      <c r="O293" s="1" t="str">
        <f t="shared" si="14"/>
        <v>Valid</v>
      </c>
      <c r="P293" t="s">
        <v>14</v>
      </c>
      <c r="Q293" s="1" t="str">
        <v>Car</v>
      </c>
      <c r="R293">
        <v>2</v>
      </c>
      <c r="S293" s="2" t="s">
        <v>35</v>
      </c>
    </row>
    <row r="294" spans="1:19" x14ac:dyDescent="0.35">
      <c r="A294">
        <v>44</v>
      </c>
      <c r="B294" s="2" t="s">
        <v>39</v>
      </c>
      <c r="C294" t="s">
        <v>20</v>
      </c>
      <c r="D294" s="1" t="str">
        <v>Female</v>
      </c>
      <c r="E294">
        <v>3</v>
      </c>
      <c r="F294" t="s">
        <v>22</v>
      </c>
      <c r="G294" t="s">
        <v>24</v>
      </c>
      <c r="H294" t="s">
        <v>24</v>
      </c>
      <c r="I294">
        <v>6419</v>
      </c>
      <c r="J294" s="2" t="s">
        <v>42</v>
      </c>
      <c r="K294" s="1" t="str">
        <f t="shared" si="12"/>
        <v>Clean</v>
      </c>
      <c r="L294" s="1" t="b">
        <v>1</v>
      </c>
      <c r="M294" s="1" t="str">
        <f t="shared" si="13"/>
        <v>Valid</v>
      </c>
      <c r="N294">
        <v>24</v>
      </c>
      <c r="O294" s="1" t="str">
        <f t="shared" si="14"/>
        <v>Valid</v>
      </c>
      <c r="P294" t="s">
        <v>14</v>
      </c>
      <c r="Q294" s="1" t="str">
        <v>Car</v>
      </c>
      <c r="R294">
        <v>1</v>
      </c>
      <c r="S294" s="2" t="s">
        <v>34</v>
      </c>
    </row>
    <row r="295" spans="1:19" x14ac:dyDescent="0.35">
      <c r="A295">
        <v>56</v>
      </c>
      <c r="B295" s="2" t="s">
        <v>37</v>
      </c>
      <c r="C295" t="s">
        <v>19</v>
      </c>
      <c r="D295" s="1" t="str">
        <v>Male</v>
      </c>
      <c r="E295">
        <v>2</v>
      </c>
      <c r="F295" t="s">
        <v>22</v>
      </c>
      <c r="G295" t="s">
        <v>24</v>
      </c>
      <c r="H295" t="s">
        <v>26</v>
      </c>
      <c r="I295">
        <v>4796</v>
      </c>
      <c r="J295" s="2" t="s">
        <v>43</v>
      </c>
      <c r="K295" s="1" t="str">
        <f t="shared" si="12"/>
        <v>Clean</v>
      </c>
      <c r="L295" s="1" t="b">
        <v>1</v>
      </c>
      <c r="M295" s="1" t="str">
        <f t="shared" si="13"/>
        <v>Valid</v>
      </c>
      <c r="N295">
        <v>42</v>
      </c>
      <c r="O295" s="1" t="str">
        <f t="shared" si="14"/>
        <v>Valid</v>
      </c>
      <c r="P295" t="s">
        <v>14</v>
      </c>
      <c r="Q295" s="1" t="str">
        <v>Car</v>
      </c>
      <c r="R295">
        <v>1</v>
      </c>
      <c r="S295" s="2" t="s">
        <v>34</v>
      </c>
    </row>
    <row r="296" spans="1:19" x14ac:dyDescent="0.35">
      <c r="A296">
        <v>46</v>
      </c>
      <c r="B296" s="2" t="s">
        <v>39</v>
      </c>
      <c r="C296" t="s">
        <v>19</v>
      </c>
      <c r="D296" s="1" t="str">
        <v>Male</v>
      </c>
      <c r="E296">
        <v>3</v>
      </c>
      <c r="F296" t="s">
        <v>21</v>
      </c>
      <c r="G296" t="s">
        <v>10</v>
      </c>
      <c r="H296" t="s">
        <v>10</v>
      </c>
      <c r="I296">
        <v>7629</v>
      </c>
      <c r="J296" s="2" t="s">
        <v>42</v>
      </c>
      <c r="K296" s="1" t="str">
        <f t="shared" si="12"/>
        <v>Clean</v>
      </c>
      <c r="L296" s="1" t="b">
        <v>1</v>
      </c>
      <c r="M296" s="1" t="str">
        <f t="shared" si="13"/>
        <v>Valid</v>
      </c>
      <c r="N296">
        <v>48</v>
      </c>
      <c r="O296" s="1" t="str">
        <f t="shared" si="14"/>
        <v>Valid</v>
      </c>
      <c r="P296" t="s">
        <v>15</v>
      </c>
      <c r="Q296" s="1" t="str">
        <v>Business</v>
      </c>
      <c r="R296">
        <v>1</v>
      </c>
      <c r="S296" s="2" t="s">
        <v>34</v>
      </c>
    </row>
    <row r="297" spans="1:19" x14ac:dyDescent="0.35">
      <c r="A297">
        <v>26</v>
      </c>
      <c r="B297" s="2" t="s">
        <v>38</v>
      </c>
      <c r="C297" t="s">
        <v>20</v>
      </c>
      <c r="D297" s="1" t="str">
        <v>Female</v>
      </c>
      <c r="E297">
        <v>2</v>
      </c>
      <c r="F297" t="s">
        <v>21</v>
      </c>
      <c r="G297" t="s">
        <v>24</v>
      </c>
      <c r="H297" t="s">
        <v>27</v>
      </c>
      <c r="I297">
        <v>9960</v>
      </c>
      <c r="J297" s="2" t="s">
        <v>42</v>
      </c>
      <c r="K297" s="1" t="str">
        <f t="shared" si="12"/>
        <v>Clean</v>
      </c>
      <c r="L297" s="1" t="b">
        <v>1</v>
      </c>
      <c r="M297" s="1" t="str">
        <f t="shared" si="13"/>
        <v>Valid</v>
      </c>
      <c r="N297">
        <v>48</v>
      </c>
      <c r="O297" s="1" t="str">
        <f t="shared" si="14"/>
        <v>Valid</v>
      </c>
      <c r="P297" t="s">
        <v>13</v>
      </c>
      <c r="Q297" s="1" t="str">
        <v>Furniture/Equipment</v>
      </c>
      <c r="R297">
        <v>2</v>
      </c>
      <c r="S297" s="2" t="s">
        <v>35</v>
      </c>
    </row>
    <row r="298" spans="1:19" x14ac:dyDescent="0.35">
      <c r="A298">
        <v>20</v>
      </c>
      <c r="B298" s="2" t="s">
        <v>38</v>
      </c>
      <c r="C298" t="s">
        <v>20</v>
      </c>
      <c r="D298" s="1" t="str">
        <v>Female</v>
      </c>
      <c r="E298">
        <v>2</v>
      </c>
      <c r="F298" t="s">
        <v>23</v>
      </c>
      <c r="G298" t="s">
        <v>10</v>
      </c>
      <c r="H298" t="s">
        <v>10</v>
      </c>
      <c r="I298">
        <v>4675</v>
      </c>
      <c r="J298" s="2" t="s">
        <v>43</v>
      </c>
      <c r="K298" s="1" t="str">
        <f t="shared" si="12"/>
        <v>Clean</v>
      </c>
      <c r="L298" s="1" t="b">
        <v>1</v>
      </c>
      <c r="M298" s="1" t="str">
        <f t="shared" si="13"/>
        <v>Valid</v>
      </c>
      <c r="N298">
        <v>12</v>
      </c>
      <c r="O298" s="1" t="str">
        <f t="shared" si="14"/>
        <v>Valid</v>
      </c>
      <c r="P298" t="s">
        <v>14</v>
      </c>
      <c r="Q298" s="1" t="str">
        <v>Car</v>
      </c>
      <c r="R298">
        <v>1</v>
      </c>
      <c r="S298" s="2" t="s">
        <v>34</v>
      </c>
    </row>
    <row r="299" spans="1:19" x14ac:dyDescent="0.35">
      <c r="A299">
        <v>45</v>
      </c>
      <c r="B299" s="2" t="s">
        <v>39</v>
      </c>
      <c r="C299" t="s">
        <v>19</v>
      </c>
      <c r="D299" s="1" t="str">
        <v>Male</v>
      </c>
      <c r="E299">
        <v>1</v>
      </c>
      <c r="F299" t="s">
        <v>21</v>
      </c>
      <c r="G299" t="s">
        <v>10</v>
      </c>
      <c r="H299" t="s">
        <v>10</v>
      </c>
      <c r="I299">
        <v>1287</v>
      </c>
      <c r="J299" s="2" t="s">
        <v>41</v>
      </c>
      <c r="K299" s="1" t="str">
        <f t="shared" si="12"/>
        <v>Has Spaces</v>
      </c>
      <c r="L299" s="1" t="b">
        <v>1</v>
      </c>
      <c r="M299" s="1" t="str">
        <f t="shared" si="13"/>
        <v>Valid</v>
      </c>
      <c r="N299">
        <v>10</v>
      </c>
      <c r="O299" s="1" t="str">
        <f t="shared" si="14"/>
        <v>Valid</v>
      </c>
      <c r="P299" t="s">
        <v>14</v>
      </c>
      <c r="Q299" s="1" t="str">
        <v>Car</v>
      </c>
      <c r="R299">
        <v>1</v>
      </c>
      <c r="S299" s="2" t="s">
        <v>34</v>
      </c>
    </row>
    <row r="300" spans="1:19" x14ac:dyDescent="0.35">
      <c r="A300">
        <v>43</v>
      </c>
      <c r="B300" s="2" t="s">
        <v>39</v>
      </c>
      <c r="C300" t="s">
        <v>19</v>
      </c>
      <c r="D300" s="1" t="str">
        <v>Male</v>
      </c>
      <c r="E300">
        <v>2</v>
      </c>
      <c r="F300" t="s">
        <v>21</v>
      </c>
      <c r="G300" t="s">
        <v>24</v>
      </c>
      <c r="H300" t="s">
        <v>10</v>
      </c>
      <c r="I300">
        <v>2515</v>
      </c>
      <c r="J300" s="2" t="s">
        <v>43</v>
      </c>
      <c r="K300" s="1" t="str">
        <f t="shared" si="12"/>
        <v>Clean</v>
      </c>
      <c r="L300" s="1" t="b">
        <v>1</v>
      </c>
      <c r="M300" s="1" t="str">
        <f t="shared" si="13"/>
        <v>Valid</v>
      </c>
      <c r="N300">
        <v>18</v>
      </c>
      <c r="O300" s="1" t="str">
        <f t="shared" si="14"/>
        <v>Valid</v>
      </c>
      <c r="P300" t="s">
        <v>13</v>
      </c>
      <c r="Q300" s="1" t="str">
        <v>Furniture/Equipment</v>
      </c>
      <c r="R300">
        <v>1</v>
      </c>
      <c r="S300" s="2" t="s">
        <v>34</v>
      </c>
    </row>
    <row r="301" spans="1:19" x14ac:dyDescent="0.35">
      <c r="A301">
        <v>32</v>
      </c>
      <c r="B301" s="2" t="s">
        <v>39</v>
      </c>
      <c r="C301" t="s">
        <v>19</v>
      </c>
      <c r="D301" s="1" t="str">
        <v>Male</v>
      </c>
      <c r="E301">
        <v>2</v>
      </c>
      <c r="F301" t="s">
        <v>21</v>
      </c>
      <c r="G301" t="s">
        <v>26</v>
      </c>
      <c r="H301" t="s">
        <v>27</v>
      </c>
      <c r="I301">
        <v>2745</v>
      </c>
      <c r="J301" s="2" t="s">
        <v>43</v>
      </c>
      <c r="K301" s="1" t="str">
        <f t="shared" si="12"/>
        <v>Clean</v>
      </c>
      <c r="L301" s="1" t="b">
        <v>1</v>
      </c>
      <c r="M301" s="1" t="str">
        <f t="shared" si="13"/>
        <v>Valid</v>
      </c>
      <c r="N301">
        <v>21</v>
      </c>
      <c r="O301" s="1" t="str">
        <f t="shared" si="14"/>
        <v>Valid</v>
      </c>
      <c r="P301" t="s">
        <v>13</v>
      </c>
      <c r="Q301" s="1" t="str">
        <v>Furniture/Equipment</v>
      </c>
      <c r="R301">
        <v>1</v>
      </c>
      <c r="S301" s="2" t="s">
        <v>34</v>
      </c>
    </row>
    <row r="302" spans="1:19" x14ac:dyDescent="0.35">
      <c r="A302">
        <v>54</v>
      </c>
      <c r="B302" s="2" t="s">
        <v>37</v>
      </c>
      <c r="C302" t="s">
        <v>20</v>
      </c>
      <c r="D302" s="1" t="str">
        <v>Female</v>
      </c>
      <c r="E302">
        <v>0</v>
      </c>
      <c r="F302" t="s">
        <v>21</v>
      </c>
      <c r="G302" t="s">
        <v>24</v>
      </c>
      <c r="H302" t="s">
        <v>10</v>
      </c>
      <c r="I302">
        <v>672</v>
      </c>
      <c r="J302" s="2" t="s">
        <v>41</v>
      </c>
      <c r="K302" s="1" t="str">
        <f t="shared" si="12"/>
        <v>Has Spaces</v>
      </c>
      <c r="L302" s="1" t="b">
        <v>1</v>
      </c>
      <c r="M302" s="1" t="str">
        <f t="shared" si="13"/>
        <v>Valid</v>
      </c>
      <c r="N302">
        <v>6</v>
      </c>
      <c r="O302" s="1" t="str">
        <f t="shared" si="14"/>
        <v>Valid</v>
      </c>
      <c r="P302" t="s">
        <v>14</v>
      </c>
      <c r="Q302" s="1" t="str">
        <v>Car</v>
      </c>
      <c r="R302">
        <v>1</v>
      </c>
      <c r="S302" s="2" t="s">
        <v>34</v>
      </c>
    </row>
    <row r="303" spans="1:19" x14ac:dyDescent="0.35">
      <c r="A303">
        <v>42</v>
      </c>
      <c r="B303" s="2" t="s">
        <v>39</v>
      </c>
      <c r="C303" t="s">
        <v>20</v>
      </c>
      <c r="D303" s="1" t="str">
        <v>Female</v>
      </c>
      <c r="E303">
        <v>2</v>
      </c>
      <c r="F303" t="s">
        <v>21</v>
      </c>
      <c r="G303" t="s">
        <v>24</v>
      </c>
      <c r="H303" t="s">
        <v>27</v>
      </c>
      <c r="I303">
        <v>3804</v>
      </c>
      <c r="J303" s="2" t="s">
        <v>43</v>
      </c>
      <c r="K303" s="1" t="str">
        <f t="shared" si="12"/>
        <v>Clean</v>
      </c>
      <c r="L303" s="1" t="b">
        <v>1</v>
      </c>
      <c r="M303" s="1" t="str">
        <f t="shared" si="13"/>
        <v>Valid</v>
      </c>
      <c r="N303">
        <v>36</v>
      </c>
      <c r="O303" s="1" t="str">
        <f t="shared" si="14"/>
        <v>Valid</v>
      </c>
      <c r="P303" t="s">
        <v>11</v>
      </c>
      <c r="Q303" s="1" t="str">
        <v>Radio/Tv</v>
      </c>
      <c r="R303">
        <v>2</v>
      </c>
      <c r="S303" s="2" t="s">
        <v>35</v>
      </c>
    </row>
    <row r="304" spans="1:19" x14ac:dyDescent="0.35">
      <c r="A304">
        <v>37</v>
      </c>
      <c r="B304" s="2" t="s">
        <v>39</v>
      </c>
      <c r="C304" t="s">
        <v>19</v>
      </c>
      <c r="D304" s="1" t="str">
        <v>Male</v>
      </c>
      <c r="E304">
        <v>1</v>
      </c>
      <c r="F304" t="s">
        <v>21</v>
      </c>
      <c r="G304" t="s">
        <v>10</v>
      </c>
      <c r="H304" t="s">
        <v>26</v>
      </c>
      <c r="I304">
        <v>1344</v>
      </c>
      <c r="J304" s="2" t="s">
        <v>41</v>
      </c>
      <c r="K304" s="1" t="str">
        <f t="shared" si="12"/>
        <v>Has Spaces</v>
      </c>
      <c r="L304" s="1" t="b">
        <v>1</v>
      </c>
      <c r="M304" s="1" t="str">
        <f t="shared" si="13"/>
        <v>Valid</v>
      </c>
      <c r="N304">
        <v>24</v>
      </c>
      <c r="O304" s="1" t="str">
        <f t="shared" si="14"/>
        <v>Valid</v>
      </c>
      <c r="P304" t="s">
        <v>14</v>
      </c>
      <c r="Q304" s="1" t="str">
        <v>Car</v>
      </c>
      <c r="R304">
        <v>2</v>
      </c>
      <c r="S304" s="2" t="s">
        <v>35</v>
      </c>
    </row>
    <row r="305" spans="1:19" x14ac:dyDescent="0.35">
      <c r="A305">
        <v>49</v>
      </c>
      <c r="B305" s="2" t="s">
        <v>39</v>
      </c>
      <c r="C305" t="s">
        <v>19</v>
      </c>
      <c r="D305" s="1" t="str">
        <v>Male</v>
      </c>
      <c r="E305">
        <v>2</v>
      </c>
      <c r="F305" t="s">
        <v>21</v>
      </c>
      <c r="G305" t="s">
        <v>24</v>
      </c>
      <c r="H305" t="s">
        <v>24</v>
      </c>
      <c r="I305">
        <v>1038</v>
      </c>
      <c r="J305" s="2" t="s">
        <v>41</v>
      </c>
      <c r="K305" s="1" t="str">
        <f t="shared" si="12"/>
        <v>Has Spaces</v>
      </c>
      <c r="L305" s="1" t="b">
        <v>1</v>
      </c>
      <c r="M305" s="1" t="str">
        <f t="shared" si="13"/>
        <v>Valid</v>
      </c>
      <c r="N305">
        <v>10</v>
      </c>
      <c r="O305" s="1" t="str">
        <f t="shared" si="14"/>
        <v>Valid</v>
      </c>
      <c r="P305" t="s">
        <v>14</v>
      </c>
      <c r="Q305" s="1" t="str">
        <v>Car</v>
      </c>
      <c r="R305">
        <v>1</v>
      </c>
      <c r="S305" s="2" t="s">
        <v>34</v>
      </c>
    </row>
    <row r="306" spans="1:19" x14ac:dyDescent="0.35">
      <c r="A306">
        <v>44</v>
      </c>
      <c r="B306" s="2" t="s">
        <v>39</v>
      </c>
      <c r="C306" t="s">
        <v>19</v>
      </c>
      <c r="D306" s="1" t="str">
        <v>Male</v>
      </c>
      <c r="E306">
        <v>2</v>
      </c>
      <c r="F306" t="s">
        <v>22</v>
      </c>
      <c r="G306" t="s">
        <v>25</v>
      </c>
      <c r="H306" t="s">
        <v>10</v>
      </c>
      <c r="I306">
        <v>10127</v>
      </c>
      <c r="J306" s="2" t="s">
        <v>42</v>
      </c>
      <c r="K306" s="1" t="str">
        <f t="shared" si="12"/>
        <v>Clean</v>
      </c>
      <c r="L306" s="1" t="b">
        <v>1</v>
      </c>
      <c r="M306" s="1" t="str">
        <f t="shared" si="13"/>
        <v>Valid</v>
      </c>
      <c r="N306">
        <v>48</v>
      </c>
      <c r="O306" s="1" t="str">
        <f t="shared" si="14"/>
        <v>Valid</v>
      </c>
      <c r="P306" t="s">
        <v>14</v>
      </c>
      <c r="Q306" s="1" t="str">
        <v>Car</v>
      </c>
      <c r="R306">
        <v>2</v>
      </c>
      <c r="S306" s="2" t="s">
        <v>35</v>
      </c>
    </row>
    <row r="307" spans="1:19" x14ac:dyDescent="0.35">
      <c r="A307">
        <v>33</v>
      </c>
      <c r="B307" s="2" t="s">
        <v>39</v>
      </c>
      <c r="C307" t="s">
        <v>19</v>
      </c>
      <c r="D307" s="1" t="str">
        <v>Male</v>
      </c>
      <c r="E307">
        <v>2</v>
      </c>
      <c r="F307" t="s">
        <v>21</v>
      </c>
      <c r="G307" t="s">
        <v>26</v>
      </c>
      <c r="H307" t="s">
        <v>10</v>
      </c>
      <c r="I307">
        <v>1543</v>
      </c>
      <c r="J307" s="2" t="s">
        <v>41</v>
      </c>
      <c r="K307" s="1" t="str">
        <f t="shared" si="12"/>
        <v>Has Spaces</v>
      </c>
      <c r="L307" s="1" t="b">
        <v>1</v>
      </c>
      <c r="M307" s="1" t="str">
        <f t="shared" si="13"/>
        <v>Valid</v>
      </c>
      <c r="N307">
        <v>6</v>
      </c>
      <c r="O307" s="1" t="str">
        <f t="shared" si="14"/>
        <v>Valid</v>
      </c>
      <c r="P307" t="s">
        <v>13</v>
      </c>
      <c r="Q307" s="1" t="str">
        <v>Furniture/Equipment</v>
      </c>
      <c r="R307">
        <v>1</v>
      </c>
      <c r="S307" s="2" t="s">
        <v>34</v>
      </c>
    </row>
    <row r="308" spans="1:19" x14ac:dyDescent="0.35">
      <c r="A308">
        <v>24</v>
      </c>
      <c r="B308" s="2" t="s">
        <v>38</v>
      </c>
      <c r="C308" t="s">
        <v>20</v>
      </c>
      <c r="D308" s="1" t="str">
        <v>Female</v>
      </c>
      <c r="E308">
        <v>1</v>
      </c>
      <c r="F308" t="s">
        <v>23</v>
      </c>
      <c r="G308" t="s">
        <v>10</v>
      </c>
      <c r="H308" t="s">
        <v>10</v>
      </c>
      <c r="I308">
        <v>4811</v>
      </c>
      <c r="J308" s="2" t="s">
        <v>43</v>
      </c>
      <c r="K308" s="1" t="str">
        <f t="shared" si="12"/>
        <v>Clean</v>
      </c>
      <c r="L308" s="1" t="b">
        <v>1</v>
      </c>
      <c r="M308" s="1" t="str">
        <f t="shared" si="13"/>
        <v>Valid</v>
      </c>
      <c r="N308">
        <v>30</v>
      </c>
      <c r="O308" s="1" t="str">
        <f t="shared" si="14"/>
        <v>Valid</v>
      </c>
      <c r="P308" t="s">
        <v>14</v>
      </c>
      <c r="Q308" s="1" t="str">
        <v>Car</v>
      </c>
      <c r="R308">
        <v>1</v>
      </c>
      <c r="S308" s="2" t="s">
        <v>34</v>
      </c>
    </row>
    <row r="309" spans="1:19" x14ac:dyDescent="0.35">
      <c r="A309">
        <v>33</v>
      </c>
      <c r="B309" s="2" t="s">
        <v>39</v>
      </c>
      <c r="C309" t="s">
        <v>19</v>
      </c>
      <c r="D309" s="1" t="str">
        <v>Male</v>
      </c>
      <c r="E309">
        <v>1</v>
      </c>
      <c r="F309" t="s">
        <v>21</v>
      </c>
      <c r="G309" t="s">
        <v>27</v>
      </c>
      <c r="H309" t="s">
        <v>24</v>
      </c>
      <c r="I309">
        <v>727</v>
      </c>
      <c r="J309" s="2" t="s">
        <v>41</v>
      </c>
      <c r="K309" s="1" t="str">
        <f t="shared" si="12"/>
        <v>Has Spaces</v>
      </c>
      <c r="L309" s="1" t="b">
        <v>1</v>
      </c>
      <c r="M309" s="1" t="str">
        <f t="shared" si="13"/>
        <v>Valid</v>
      </c>
      <c r="N309">
        <v>12</v>
      </c>
      <c r="O309" s="1" t="str">
        <f t="shared" si="14"/>
        <v>Valid</v>
      </c>
      <c r="P309" t="s">
        <v>11</v>
      </c>
      <c r="Q309" s="1" t="str">
        <v>Radio/Tv</v>
      </c>
      <c r="R309">
        <v>2</v>
      </c>
      <c r="S309" s="2" t="s">
        <v>35</v>
      </c>
    </row>
    <row r="310" spans="1:19" x14ac:dyDescent="0.35">
      <c r="A310">
        <v>24</v>
      </c>
      <c r="B310" s="2" t="s">
        <v>38</v>
      </c>
      <c r="C310" t="s">
        <v>20</v>
      </c>
      <c r="D310" s="1" t="str">
        <v>Female</v>
      </c>
      <c r="E310">
        <v>2</v>
      </c>
      <c r="F310" t="s">
        <v>21</v>
      </c>
      <c r="G310" t="s">
        <v>24</v>
      </c>
      <c r="H310" t="s">
        <v>27</v>
      </c>
      <c r="I310">
        <v>1237</v>
      </c>
      <c r="J310" s="2" t="s">
        <v>41</v>
      </c>
      <c r="K310" s="1" t="str">
        <f t="shared" si="12"/>
        <v>Has Spaces</v>
      </c>
      <c r="L310" s="1" t="b">
        <v>1</v>
      </c>
      <c r="M310" s="1" t="str">
        <f t="shared" si="13"/>
        <v>Valid</v>
      </c>
      <c r="N310">
        <v>8</v>
      </c>
      <c r="O310" s="1" t="str">
        <f t="shared" si="14"/>
        <v>Valid</v>
      </c>
      <c r="P310" t="s">
        <v>13</v>
      </c>
      <c r="Q310" s="1" t="str">
        <v>Furniture/Equipment</v>
      </c>
      <c r="R310">
        <v>2</v>
      </c>
      <c r="S310" s="2" t="s">
        <v>35</v>
      </c>
    </row>
    <row r="311" spans="1:19" x14ac:dyDescent="0.35">
      <c r="A311">
        <v>22</v>
      </c>
      <c r="B311" s="2" t="s">
        <v>38</v>
      </c>
      <c r="C311" t="s">
        <v>19</v>
      </c>
      <c r="D311" s="1" t="str">
        <v>Male</v>
      </c>
      <c r="E311">
        <v>1</v>
      </c>
      <c r="F311" t="s">
        <v>23</v>
      </c>
      <c r="G311" t="s">
        <v>24</v>
      </c>
      <c r="H311" t="s">
        <v>27</v>
      </c>
      <c r="I311">
        <v>276</v>
      </c>
      <c r="J311" s="2" t="s">
        <v>41</v>
      </c>
      <c r="K311" s="1" t="str">
        <f t="shared" si="12"/>
        <v>Has Spaces</v>
      </c>
      <c r="L311" s="1" t="b">
        <v>1</v>
      </c>
      <c r="M311" s="1" t="str">
        <f t="shared" si="13"/>
        <v>Valid</v>
      </c>
      <c r="N311">
        <v>9</v>
      </c>
      <c r="O311" s="1" t="str">
        <f t="shared" si="14"/>
        <v>Valid</v>
      </c>
      <c r="P311" t="s">
        <v>14</v>
      </c>
      <c r="Q311" s="1" t="str">
        <v>Car</v>
      </c>
      <c r="R311">
        <v>1</v>
      </c>
      <c r="S311" s="2" t="s">
        <v>34</v>
      </c>
    </row>
    <row r="312" spans="1:19" x14ac:dyDescent="0.35">
      <c r="A312">
        <v>40</v>
      </c>
      <c r="B312" s="2" t="s">
        <v>39</v>
      </c>
      <c r="C312" t="s">
        <v>19</v>
      </c>
      <c r="D312" s="1" t="str">
        <v>Male</v>
      </c>
      <c r="E312">
        <v>0</v>
      </c>
      <c r="F312" t="s">
        <v>22</v>
      </c>
      <c r="G312" t="s">
        <v>10</v>
      </c>
      <c r="H312" t="s">
        <v>27</v>
      </c>
      <c r="I312">
        <v>5381</v>
      </c>
      <c r="J312" s="2" t="s">
        <v>42</v>
      </c>
      <c r="K312" s="1" t="str">
        <f t="shared" si="12"/>
        <v>Clean</v>
      </c>
      <c r="L312" s="1" t="b">
        <v>1</v>
      </c>
      <c r="M312" s="1" t="str">
        <f t="shared" si="13"/>
        <v>Valid</v>
      </c>
      <c r="N312">
        <v>48</v>
      </c>
      <c r="O312" s="1" t="str">
        <f t="shared" si="14"/>
        <v>Valid</v>
      </c>
      <c r="P312" t="s">
        <v>18</v>
      </c>
      <c r="Q312" s="1" t="str">
        <v>Vacation/Others</v>
      </c>
      <c r="R312">
        <v>1</v>
      </c>
      <c r="S312" s="2" t="s">
        <v>34</v>
      </c>
    </row>
    <row r="313" spans="1:19" x14ac:dyDescent="0.35">
      <c r="A313">
        <v>25</v>
      </c>
      <c r="B313" s="2" t="s">
        <v>38</v>
      </c>
      <c r="C313" t="s">
        <v>19</v>
      </c>
      <c r="D313" s="1" t="str">
        <v>Male</v>
      </c>
      <c r="E313">
        <v>2</v>
      </c>
      <c r="F313" t="s">
        <v>21</v>
      </c>
      <c r="G313" t="s">
        <v>27</v>
      </c>
      <c r="H313" t="s">
        <v>10</v>
      </c>
      <c r="I313">
        <v>5511</v>
      </c>
      <c r="J313" s="2" t="s">
        <v>42</v>
      </c>
      <c r="K313" s="1" t="str">
        <f t="shared" si="12"/>
        <v>Clean</v>
      </c>
      <c r="L313" s="1" t="b">
        <v>1</v>
      </c>
      <c r="M313" s="1" t="str">
        <f t="shared" si="13"/>
        <v>Valid</v>
      </c>
      <c r="N313">
        <v>24</v>
      </c>
      <c r="O313" s="1" t="str">
        <f t="shared" si="14"/>
        <v>Valid</v>
      </c>
      <c r="P313" t="s">
        <v>13</v>
      </c>
      <c r="Q313" s="1" t="str">
        <v>Furniture/Equipment</v>
      </c>
      <c r="R313">
        <v>1</v>
      </c>
      <c r="S313" s="2" t="s">
        <v>34</v>
      </c>
    </row>
    <row r="314" spans="1:19" x14ac:dyDescent="0.35">
      <c r="A314">
        <v>26</v>
      </c>
      <c r="B314" s="2" t="s">
        <v>38</v>
      </c>
      <c r="C314" t="s">
        <v>20</v>
      </c>
      <c r="D314" s="1" t="str">
        <v>Female</v>
      </c>
      <c r="E314">
        <v>2</v>
      </c>
      <c r="F314" t="s">
        <v>21</v>
      </c>
      <c r="G314" t="s">
        <v>24</v>
      </c>
      <c r="H314" t="s">
        <v>26</v>
      </c>
      <c r="I314">
        <v>3749</v>
      </c>
      <c r="J314" s="2" t="s">
        <v>43</v>
      </c>
      <c r="K314" s="1" t="str">
        <f t="shared" si="12"/>
        <v>Clean</v>
      </c>
      <c r="L314" s="1" t="b">
        <v>1</v>
      </c>
      <c r="M314" s="1" t="str">
        <f t="shared" si="13"/>
        <v>Valid</v>
      </c>
      <c r="N314">
        <v>24</v>
      </c>
      <c r="O314" s="1" t="str">
        <f t="shared" si="14"/>
        <v>Valid</v>
      </c>
      <c r="P314" t="s">
        <v>13</v>
      </c>
      <c r="Q314" s="1" t="str">
        <v>Furniture/Equipment</v>
      </c>
      <c r="R314">
        <v>1</v>
      </c>
      <c r="S314" s="2" t="s">
        <v>34</v>
      </c>
    </row>
    <row r="315" spans="1:19" x14ac:dyDescent="0.35">
      <c r="A315">
        <v>25</v>
      </c>
      <c r="B315" s="2" t="s">
        <v>38</v>
      </c>
      <c r="C315" t="s">
        <v>19</v>
      </c>
      <c r="D315" s="1" t="str">
        <v>Male</v>
      </c>
      <c r="E315">
        <v>1</v>
      </c>
      <c r="F315" t="s">
        <v>21</v>
      </c>
      <c r="G315" t="s">
        <v>24</v>
      </c>
      <c r="H315" t="s">
        <v>27</v>
      </c>
      <c r="I315">
        <v>685</v>
      </c>
      <c r="J315" s="2" t="s">
        <v>41</v>
      </c>
      <c r="K315" s="1" t="str">
        <f t="shared" si="12"/>
        <v>Has Spaces</v>
      </c>
      <c r="L315" s="1" t="b">
        <v>1</v>
      </c>
      <c r="M315" s="1" t="str">
        <f t="shared" si="13"/>
        <v>Valid</v>
      </c>
      <c r="N315">
        <v>12</v>
      </c>
      <c r="O315" s="1" t="str">
        <f t="shared" si="14"/>
        <v>Valid</v>
      </c>
      <c r="P315" t="s">
        <v>14</v>
      </c>
      <c r="Q315" s="1" t="str">
        <v>Car</v>
      </c>
      <c r="R315">
        <v>2</v>
      </c>
      <c r="S315" s="2" t="s">
        <v>35</v>
      </c>
    </row>
    <row r="316" spans="1:19" x14ac:dyDescent="0.35">
      <c r="A316">
        <v>29</v>
      </c>
      <c r="B316" s="2" t="s">
        <v>38</v>
      </c>
      <c r="C316" t="s">
        <v>19</v>
      </c>
      <c r="D316" s="1" t="str">
        <v>Male</v>
      </c>
      <c r="E316">
        <v>1</v>
      </c>
      <c r="F316" t="s">
        <v>21</v>
      </c>
      <c r="G316" t="s">
        <v>10</v>
      </c>
      <c r="H316" t="s">
        <v>26</v>
      </c>
      <c r="I316">
        <v>1494</v>
      </c>
      <c r="J316" s="2" t="s">
        <v>41</v>
      </c>
      <c r="K316" s="1" t="str">
        <f t="shared" si="12"/>
        <v>Has Spaces</v>
      </c>
      <c r="L316" s="1" t="b">
        <v>1</v>
      </c>
      <c r="M316" s="1" t="str">
        <f t="shared" si="13"/>
        <v>Valid</v>
      </c>
      <c r="N316">
        <v>4</v>
      </c>
      <c r="O316" s="1" t="str">
        <f t="shared" si="14"/>
        <v>Valid</v>
      </c>
      <c r="P316" t="s">
        <v>14</v>
      </c>
      <c r="Q316" s="1" t="str">
        <v>Car</v>
      </c>
      <c r="R316">
        <v>1</v>
      </c>
      <c r="S316" s="2" t="s">
        <v>34</v>
      </c>
    </row>
    <row r="317" spans="1:19" x14ac:dyDescent="0.35">
      <c r="A317">
        <v>31</v>
      </c>
      <c r="B317" s="2" t="s">
        <v>39</v>
      </c>
      <c r="C317" t="s">
        <v>19</v>
      </c>
      <c r="D317" s="1" t="str">
        <v>Male</v>
      </c>
      <c r="E317">
        <v>2</v>
      </c>
      <c r="F317" t="s">
        <v>21</v>
      </c>
      <c r="G317" t="s">
        <v>24</v>
      </c>
      <c r="H317" t="s">
        <v>24</v>
      </c>
      <c r="I317">
        <v>2746</v>
      </c>
      <c r="J317" s="2" t="s">
        <v>43</v>
      </c>
      <c r="K317" s="1" t="str">
        <f t="shared" si="12"/>
        <v>Clean</v>
      </c>
      <c r="L317" s="1" t="b">
        <v>1</v>
      </c>
      <c r="M317" s="1" t="str">
        <f t="shared" si="13"/>
        <v>Valid</v>
      </c>
      <c r="N317">
        <v>36</v>
      </c>
      <c r="O317" s="1" t="str">
        <f t="shared" si="14"/>
        <v>Valid</v>
      </c>
      <c r="P317" t="s">
        <v>13</v>
      </c>
      <c r="Q317" s="1" t="str">
        <v>Furniture/Equipment</v>
      </c>
      <c r="R317">
        <v>2</v>
      </c>
      <c r="S317" s="2" t="s">
        <v>35</v>
      </c>
    </row>
    <row r="318" spans="1:19" x14ac:dyDescent="0.35">
      <c r="A318">
        <v>38</v>
      </c>
      <c r="B318" s="2" t="s">
        <v>39</v>
      </c>
      <c r="C318" t="s">
        <v>19</v>
      </c>
      <c r="D318" s="1" t="str">
        <v>Male</v>
      </c>
      <c r="E318">
        <v>1</v>
      </c>
      <c r="F318" t="s">
        <v>21</v>
      </c>
      <c r="G318" t="s">
        <v>24</v>
      </c>
      <c r="H318" t="s">
        <v>24</v>
      </c>
      <c r="I318">
        <v>708</v>
      </c>
      <c r="J318" s="2" t="s">
        <v>41</v>
      </c>
      <c r="K318" s="1" t="str">
        <f t="shared" si="12"/>
        <v>Has Spaces</v>
      </c>
      <c r="L318" s="1" t="b">
        <v>1</v>
      </c>
      <c r="M318" s="1" t="str">
        <f t="shared" si="13"/>
        <v>Valid</v>
      </c>
      <c r="N318">
        <v>12</v>
      </c>
      <c r="O318" s="1" t="str">
        <f t="shared" si="14"/>
        <v>Valid</v>
      </c>
      <c r="P318" t="s">
        <v>13</v>
      </c>
      <c r="Q318" s="1" t="str">
        <v>Furniture/Equipment</v>
      </c>
      <c r="R318">
        <v>1</v>
      </c>
      <c r="S318" s="2" t="s">
        <v>34</v>
      </c>
    </row>
    <row r="319" spans="1:19" x14ac:dyDescent="0.35">
      <c r="A319">
        <v>48</v>
      </c>
      <c r="B319" s="2" t="s">
        <v>39</v>
      </c>
      <c r="C319" t="s">
        <v>20</v>
      </c>
      <c r="D319" s="1" t="str">
        <v>Female</v>
      </c>
      <c r="E319">
        <v>1</v>
      </c>
      <c r="F319" t="s">
        <v>21</v>
      </c>
      <c r="G319" t="s">
        <v>10</v>
      </c>
      <c r="H319" t="s">
        <v>27</v>
      </c>
      <c r="I319">
        <v>4351</v>
      </c>
      <c r="J319" s="2" t="s">
        <v>43</v>
      </c>
      <c r="K319" s="1" t="str">
        <f t="shared" si="12"/>
        <v>Clean</v>
      </c>
      <c r="L319" s="1" t="b">
        <v>1</v>
      </c>
      <c r="M319" s="1" t="str">
        <f t="shared" si="13"/>
        <v>Valid</v>
      </c>
      <c r="N319">
        <v>24</v>
      </c>
      <c r="O319" s="1" t="str">
        <f t="shared" si="14"/>
        <v>Valid</v>
      </c>
      <c r="P319" t="s">
        <v>13</v>
      </c>
      <c r="Q319" s="1" t="str">
        <v>Furniture/Equipment</v>
      </c>
      <c r="R319">
        <v>1</v>
      </c>
      <c r="S319" s="2" t="s">
        <v>34</v>
      </c>
    </row>
    <row r="320" spans="1:19" x14ac:dyDescent="0.35">
      <c r="A320">
        <v>32</v>
      </c>
      <c r="B320" s="2" t="s">
        <v>39</v>
      </c>
      <c r="C320" t="s">
        <v>19</v>
      </c>
      <c r="D320" s="1" t="str">
        <v>Male</v>
      </c>
      <c r="E320">
        <v>2</v>
      </c>
      <c r="F320" t="s">
        <v>21</v>
      </c>
      <c r="G320" t="s">
        <v>24</v>
      </c>
      <c r="H320" t="s">
        <v>10</v>
      </c>
      <c r="I320">
        <v>701</v>
      </c>
      <c r="J320" s="2" t="s">
        <v>41</v>
      </c>
      <c r="K320" s="1" t="str">
        <f t="shared" si="12"/>
        <v>Has Spaces</v>
      </c>
      <c r="L320" s="1" t="b">
        <v>1</v>
      </c>
      <c r="M320" s="1" t="str">
        <f t="shared" si="13"/>
        <v>Valid</v>
      </c>
      <c r="N320">
        <v>12</v>
      </c>
      <c r="O320" s="1" t="str">
        <f t="shared" si="14"/>
        <v>Valid</v>
      </c>
      <c r="P320" t="s">
        <v>12</v>
      </c>
      <c r="Q320" s="1" t="str">
        <v>Education</v>
      </c>
      <c r="R320">
        <v>1</v>
      </c>
      <c r="S320" s="2" t="s">
        <v>34</v>
      </c>
    </row>
    <row r="321" spans="1:19" x14ac:dyDescent="0.35">
      <c r="A321">
        <v>27</v>
      </c>
      <c r="B321" s="2" t="s">
        <v>38</v>
      </c>
      <c r="C321" t="s">
        <v>20</v>
      </c>
      <c r="D321" s="1" t="str">
        <v>Female</v>
      </c>
      <c r="E321">
        <v>1</v>
      </c>
      <c r="F321" t="s">
        <v>21</v>
      </c>
      <c r="G321" t="s">
        <v>24</v>
      </c>
      <c r="H321" t="s">
        <v>24</v>
      </c>
      <c r="I321">
        <v>3643</v>
      </c>
      <c r="J321" s="2" t="s">
        <v>43</v>
      </c>
      <c r="K321" s="1" t="str">
        <f t="shared" si="12"/>
        <v>Clean</v>
      </c>
      <c r="L321" s="1" t="b">
        <v>1</v>
      </c>
      <c r="M321" s="1" t="str">
        <f t="shared" si="13"/>
        <v>Valid</v>
      </c>
      <c r="N321">
        <v>15</v>
      </c>
      <c r="O321" s="1" t="str">
        <f t="shared" si="14"/>
        <v>Valid</v>
      </c>
      <c r="P321" t="s">
        <v>13</v>
      </c>
      <c r="Q321" s="1" t="str">
        <v>Furniture/Equipment</v>
      </c>
      <c r="R321">
        <v>1</v>
      </c>
      <c r="S321" s="2" t="s">
        <v>34</v>
      </c>
    </row>
    <row r="322" spans="1:19" x14ac:dyDescent="0.35">
      <c r="A322">
        <v>28</v>
      </c>
      <c r="B322" s="2" t="s">
        <v>38</v>
      </c>
      <c r="C322" t="s">
        <v>19</v>
      </c>
      <c r="D322" s="1" t="str">
        <v>Male</v>
      </c>
      <c r="E322">
        <v>3</v>
      </c>
      <c r="F322" t="s">
        <v>21</v>
      </c>
      <c r="G322" t="s">
        <v>24</v>
      </c>
      <c r="H322" t="s">
        <v>27</v>
      </c>
      <c r="I322">
        <v>4249</v>
      </c>
      <c r="J322" s="2" t="s">
        <v>43</v>
      </c>
      <c r="K322" s="1" t="str">
        <f t="shared" si="12"/>
        <v>Clean</v>
      </c>
      <c r="L322" s="1" t="b">
        <v>1</v>
      </c>
      <c r="M322" s="1" t="str">
        <f t="shared" si="13"/>
        <v>Valid</v>
      </c>
      <c r="N322">
        <v>30</v>
      </c>
      <c r="O322" s="1" t="str">
        <f t="shared" si="14"/>
        <v>Valid</v>
      </c>
      <c r="P322" t="s">
        <v>14</v>
      </c>
      <c r="Q322" s="1" t="str">
        <v>Car</v>
      </c>
      <c r="R322">
        <v>2</v>
      </c>
      <c r="S322" s="2" t="s">
        <v>35</v>
      </c>
    </row>
    <row r="323" spans="1:19" x14ac:dyDescent="0.35">
      <c r="A323">
        <v>32</v>
      </c>
      <c r="B323" s="2" t="s">
        <v>39</v>
      </c>
      <c r="C323" t="s">
        <v>19</v>
      </c>
      <c r="D323" s="1" t="str">
        <v>Male</v>
      </c>
      <c r="E323">
        <v>2</v>
      </c>
      <c r="F323" t="s">
        <v>21</v>
      </c>
      <c r="G323" t="s">
        <v>24</v>
      </c>
      <c r="H323" t="s">
        <v>24</v>
      </c>
      <c r="I323">
        <v>1938</v>
      </c>
      <c r="J323" s="2" t="s">
        <v>41</v>
      </c>
      <c r="K323" s="1" t="str">
        <f t="shared" ref="K323:K386" si="15">IF(J323=TRIM(J323),"Clean","Has Spaces")</f>
        <v>Has Spaces</v>
      </c>
      <c r="L323" s="1" t="b">
        <v>1</v>
      </c>
      <c r="M323" s="1" t="str">
        <f t="shared" ref="M323:M386" si="16">IF(I323&gt;0,"Valid", "Invalid")</f>
        <v>Valid</v>
      </c>
      <c r="N323">
        <v>24</v>
      </c>
      <c r="O323" s="1" t="str">
        <f t="shared" ref="O323:O386" si="17">IF(N323&lt;=0,"invalid", "Valid")</f>
        <v>Valid</v>
      </c>
      <c r="P323" t="s">
        <v>11</v>
      </c>
      <c r="Q323" s="1" t="str">
        <v>Radio/Tv</v>
      </c>
      <c r="R323">
        <v>2</v>
      </c>
      <c r="S323" s="2" t="s">
        <v>35</v>
      </c>
    </row>
    <row r="324" spans="1:19" x14ac:dyDescent="0.35">
      <c r="A324">
        <v>34</v>
      </c>
      <c r="B324" s="2" t="s">
        <v>39</v>
      </c>
      <c r="C324" t="s">
        <v>19</v>
      </c>
      <c r="D324" s="1" t="str">
        <v>Male</v>
      </c>
      <c r="E324">
        <v>3</v>
      </c>
      <c r="F324" t="s">
        <v>22</v>
      </c>
      <c r="G324" t="s">
        <v>24</v>
      </c>
      <c r="H324" t="s">
        <v>24</v>
      </c>
      <c r="I324">
        <v>2910</v>
      </c>
      <c r="J324" s="2" t="s">
        <v>43</v>
      </c>
      <c r="K324" s="1" t="str">
        <f t="shared" si="15"/>
        <v>Clean</v>
      </c>
      <c r="L324" s="1" t="b">
        <v>1</v>
      </c>
      <c r="M324" s="1" t="str">
        <f t="shared" si="16"/>
        <v>Valid</v>
      </c>
      <c r="N324">
        <v>24</v>
      </c>
      <c r="O324" s="1" t="str">
        <f t="shared" si="17"/>
        <v>Valid</v>
      </c>
      <c r="P324" t="s">
        <v>14</v>
      </c>
      <c r="Q324" s="1" t="str">
        <v>Car</v>
      </c>
      <c r="R324">
        <v>1</v>
      </c>
      <c r="S324" s="2" t="s">
        <v>34</v>
      </c>
    </row>
    <row r="325" spans="1:19" x14ac:dyDescent="0.35">
      <c r="A325">
        <v>28</v>
      </c>
      <c r="B325" s="2" t="s">
        <v>38</v>
      </c>
      <c r="C325" t="s">
        <v>19</v>
      </c>
      <c r="D325" s="1" t="str">
        <v>Male</v>
      </c>
      <c r="E325">
        <v>2</v>
      </c>
      <c r="F325" t="s">
        <v>21</v>
      </c>
      <c r="G325" t="s">
        <v>26</v>
      </c>
      <c r="H325" t="s">
        <v>24</v>
      </c>
      <c r="I325">
        <v>2659</v>
      </c>
      <c r="J325" s="2" t="s">
        <v>43</v>
      </c>
      <c r="K325" s="1" t="str">
        <f t="shared" si="15"/>
        <v>Clean</v>
      </c>
      <c r="L325" s="1" t="b">
        <v>1</v>
      </c>
      <c r="M325" s="1" t="str">
        <f t="shared" si="16"/>
        <v>Valid</v>
      </c>
      <c r="N325">
        <v>18</v>
      </c>
      <c r="O325" s="1" t="str">
        <f t="shared" si="17"/>
        <v>Valid</v>
      </c>
      <c r="P325" t="s">
        <v>13</v>
      </c>
      <c r="Q325" s="1" t="str">
        <v>Furniture/Equipment</v>
      </c>
      <c r="R325">
        <v>1</v>
      </c>
      <c r="S325" s="2" t="s">
        <v>34</v>
      </c>
    </row>
    <row r="326" spans="1:19" x14ac:dyDescent="0.35">
      <c r="A326">
        <v>36</v>
      </c>
      <c r="B326" s="2" t="s">
        <v>39</v>
      </c>
      <c r="C326" t="s">
        <v>20</v>
      </c>
      <c r="D326" s="1" t="str">
        <v>Female</v>
      </c>
      <c r="E326">
        <v>2</v>
      </c>
      <c r="F326" t="s">
        <v>21</v>
      </c>
      <c r="G326" t="s">
        <v>24</v>
      </c>
      <c r="H326" t="s">
        <v>10</v>
      </c>
      <c r="I326">
        <v>1028</v>
      </c>
      <c r="J326" s="2" t="s">
        <v>41</v>
      </c>
      <c r="K326" s="1" t="str">
        <f t="shared" si="15"/>
        <v>Has Spaces</v>
      </c>
      <c r="L326" s="1" t="b">
        <v>1</v>
      </c>
      <c r="M326" s="1" t="str">
        <f t="shared" si="16"/>
        <v>Valid</v>
      </c>
      <c r="N326">
        <v>18</v>
      </c>
      <c r="O326" s="1" t="str">
        <f t="shared" si="17"/>
        <v>Valid</v>
      </c>
      <c r="P326" t="s">
        <v>14</v>
      </c>
      <c r="Q326" s="1" t="str">
        <v>Car</v>
      </c>
      <c r="R326">
        <v>1</v>
      </c>
      <c r="S326" s="2" t="s">
        <v>34</v>
      </c>
    </row>
    <row r="327" spans="1:19" x14ac:dyDescent="0.35">
      <c r="A327">
        <v>39</v>
      </c>
      <c r="B327" s="2" t="s">
        <v>39</v>
      </c>
      <c r="C327" t="s">
        <v>19</v>
      </c>
      <c r="D327" s="1" t="str">
        <v>Male</v>
      </c>
      <c r="E327">
        <v>1</v>
      </c>
      <c r="F327" t="s">
        <v>21</v>
      </c>
      <c r="G327" t="s">
        <v>24</v>
      </c>
      <c r="H327" t="s">
        <v>24</v>
      </c>
      <c r="I327">
        <v>3398</v>
      </c>
      <c r="J327" s="2" t="s">
        <v>43</v>
      </c>
      <c r="K327" s="1" t="str">
        <f t="shared" si="15"/>
        <v>Clean</v>
      </c>
      <c r="L327" s="1" t="b">
        <v>1</v>
      </c>
      <c r="M327" s="1" t="str">
        <f t="shared" si="16"/>
        <v>Valid</v>
      </c>
      <c r="N327">
        <v>8</v>
      </c>
      <c r="O327" s="1" t="str">
        <f t="shared" si="17"/>
        <v>Valid</v>
      </c>
      <c r="P327" t="s">
        <v>14</v>
      </c>
      <c r="Q327" s="1" t="str">
        <v>Car</v>
      </c>
      <c r="R327">
        <v>1</v>
      </c>
      <c r="S327" s="2" t="s">
        <v>34</v>
      </c>
    </row>
    <row r="328" spans="1:19" x14ac:dyDescent="0.35">
      <c r="A328">
        <v>49</v>
      </c>
      <c r="B328" s="2" t="s">
        <v>39</v>
      </c>
      <c r="C328" t="s">
        <v>19</v>
      </c>
      <c r="D328" s="1" t="str">
        <v>Male</v>
      </c>
      <c r="E328">
        <v>2</v>
      </c>
      <c r="F328" t="s">
        <v>23</v>
      </c>
      <c r="G328" t="s">
        <v>10</v>
      </c>
      <c r="H328" t="s">
        <v>10</v>
      </c>
      <c r="I328">
        <v>5801</v>
      </c>
      <c r="J328" s="2" t="s">
        <v>42</v>
      </c>
      <c r="K328" s="1" t="str">
        <f t="shared" si="15"/>
        <v>Clean</v>
      </c>
      <c r="L328" s="1" t="b">
        <v>1</v>
      </c>
      <c r="M328" s="1" t="str">
        <f t="shared" si="16"/>
        <v>Valid</v>
      </c>
      <c r="N328">
        <v>12</v>
      </c>
      <c r="O328" s="1" t="str">
        <f t="shared" si="17"/>
        <v>Valid</v>
      </c>
      <c r="P328" t="s">
        <v>13</v>
      </c>
      <c r="Q328" s="1" t="str">
        <v>Furniture/Equipment</v>
      </c>
      <c r="R328">
        <v>1</v>
      </c>
      <c r="S328" s="2" t="s">
        <v>34</v>
      </c>
    </row>
    <row r="329" spans="1:19" x14ac:dyDescent="0.35">
      <c r="A329">
        <v>34</v>
      </c>
      <c r="B329" s="2" t="s">
        <v>39</v>
      </c>
      <c r="C329" t="s">
        <v>20</v>
      </c>
      <c r="D329" s="1" t="str">
        <v>Female</v>
      </c>
      <c r="E329">
        <v>2</v>
      </c>
      <c r="F329" t="s">
        <v>21</v>
      </c>
      <c r="G329" t="s">
        <v>26</v>
      </c>
      <c r="H329" t="s">
        <v>10</v>
      </c>
      <c r="I329">
        <v>1525</v>
      </c>
      <c r="J329" s="2" t="s">
        <v>41</v>
      </c>
      <c r="K329" s="1" t="str">
        <f t="shared" si="15"/>
        <v>Has Spaces</v>
      </c>
      <c r="L329" s="1" t="b">
        <v>1</v>
      </c>
      <c r="M329" s="1" t="str">
        <f t="shared" si="16"/>
        <v>Valid</v>
      </c>
      <c r="N329">
        <v>24</v>
      </c>
      <c r="O329" s="1" t="str">
        <f t="shared" si="17"/>
        <v>Valid</v>
      </c>
      <c r="P329" t="s">
        <v>14</v>
      </c>
      <c r="Q329" s="1" t="str">
        <v>Car</v>
      </c>
      <c r="R329">
        <v>1</v>
      </c>
      <c r="S329" s="2" t="s">
        <v>34</v>
      </c>
    </row>
    <row r="330" spans="1:19" x14ac:dyDescent="0.35">
      <c r="A330">
        <v>31</v>
      </c>
      <c r="B330" s="2" t="s">
        <v>39</v>
      </c>
      <c r="C330" t="s">
        <v>19</v>
      </c>
      <c r="D330" s="1" t="str">
        <v>Male</v>
      </c>
      <c r="E330">
        <v>2</v>
      </c>
      <c r="F330" t="s">
        <v>21</v>
      </c>
      <c r="G330" t="s">
        <v>24</v>
      </c>
      <c r="H330" t="s">
        <v>26</v>
      </c>
      <c r="I330">
        <v>4473</v>
      </c>
      <c r="J330" s="2" t="s">
        <v>43</v>
      </c>
      <c r="K330" s="1" t="str">
        <f t="shared" si="15"/>
        <v>Clean</v>
      </c>
      <c r="L330" s="1" t="b">
        <v>1</v>
      </c>
      <c r="M330" s="1" t="str">
        <f t="shared" si="16"/>
        <v>Valid</v>
      </c>
      <c r="N330">
        <v>36</v>
      </c>
      <c r="O330" s="1" t="str">
        <f t="shared" si="17"/>
        <v>Valid</v>
      </c>
      <c r="P330" t="s">
        <v>11</v>
      </c>
      <c r="Q330" s="1" t="str">
        <v>Radio/Tv</v>
      </c>
      <c r="R330">
        <v>1</v>
      </c>
      <c r="S330" s="2" t="s">
        <v>34</v>
      </c>
    </row>
    <row r="331" spans="1:19" x14ac:dyDescent="0.35">
      <c r="A331">
        <v>28</v>
      </c>
      <c r="B331" s="2" t="s">
        <v>38</v>
      </c>
      <c r="C331" t="s">
        <v>19</v>
      </c>
      <c r="D331" s="1" t="str">
        <v>Male</v>
      </c>
      <c r="E331">
        <v>2</v>
      </c>
      <c r="F331" t="s">
        <v>21</v>
      </c>
      <c r="G331" t="s">
        <v>24</v>
      </c>
      <c r="H331" t="s">
        <v>27</v>
      </c>
      <c r="I331">
        <v>1068</v>
      </c>
      <c r="J331" s="2" t="s">
        <v>41</v>
      </c>
      <c r="K331" s="1" t="str">
        <f t="shared" si="15"/>
        <v>Has Spaces</v>
      </c>
      <c r="L331" s="1" t="b">
        <v>1</v>
      </c>
      <c r="M331" s="1" t="str">
        <f t="shared" si="16"/>
        <v>Valid</v>
      </c>
      <c r="N331">
        <v>6</v>
      </c>
      <c r="O331" s="1" t="str">
        <f t="shared" si="17"/>
        <v>Valid</v>
      </c>
      <c r="P331" t="s">
        <v>11</v>
      </c>
      <c r="Q331" s="1" t="str">
        <v>Radio/Tv</v>
      </c>
      <c r="R331">
        <v>1</v>
      </c>
      <c r="S331" s="2" t="s">
        <v>34</v>
      </c>
    </row>
    <row r="332" spans="1:19" x14ac:dyDescent="0.35">
      <c r="A332">
        <v>75</v>
      </c>
      <c r="B332" s="2" t="s">
        <v>37</v>
      </c>
      <c r="C332" t="s">
        <v>19</v>
      </c>
      <c r="D332" s="1" t="str">
        <v>Male</v>
      </c>
      <c r="E332">
        <v>3</v>
      </c>
      <c r="F332" t="s">
        <v>22</v>
      </c>
      <c r="G332" t="s">
        <v>24</v>
      </c>
      <c r="H332" t="s">
        <v>24</v>
      </c>
      <c r="I332">
        <v>6615</v>
      </c>
      <c r="J332" s="2" t="s">
        <v>42</v>
      </c>
      <c r="K332" s="1" t="str">
        <f t="shared" si="15"/>
        <v>Clean</v>
      </c>
      <c r="L332" s="1" t="b">
        <v>1</v>
      </c>
      <c r="M332" s="1" t="str">
        <f t="shared" si="16"/>
        <v>Valid</v>
      </c>
      <c r="N332">
        <v>24</v>
      </c>
      <c r="O332" s="1" t="str">
        <f t="shared" si="17"/>
        <v>Valid</v>
      </c>
      <c r="P332" t="s">
        <v>14</v>
      </c>
      <c r="Q332" s="1" t="str">
        <v>Car</v>
      </c>
      <c r="R332">
        <v>1</v>
      </c>
      <c r="S332" s="2" t="s">
        <v>34</v>
      </c>
    </row>
    <row r="333" spans="1:19" x14ac:dyDescent="0.35">
      <c r="A333">
        <v>30</v>
      </c>
      <c r="B333" s="2" t="s">
        <v>39</v>
      </c>
      <c r="C333" t="s">
        <v>20</v>
      </c>
      <c r="D333" s="1" t="str">
        <v>Female</v>
      </c>
      <c r="E333">
        <v>2</v>
      </c>
      <c r="F333" t="s">
        <v>21</v>
      </c>
      <c r="G333" t="s">
        <v>27</v>
      </c>
      <c r="H333" t="s">
        <v>10</v>
      </c>
      <c r="I333">
        <v>1864</v>
      </c>
      <c r="J333" s="2" t="s">
        <v>41</v>
      </c>
      <c r="K333" s="1" t="str">
        <f t="shared" si="15"/>
        <v>Has Spaces</v>
      </c>
      <c r="L333" s="1" t="b">
        <v>1</v>
      </c>
      <c r="M333" s="1" t="str">
        <f t="shared" si="16"/>
        <v>Valid</v>
      </c>
      <c r="N333">
        <v>18</v>
      </c>
      <c r="O333" s="1" t="str">
        <f t="shared" si="17"/>
        <v>Valid</v>
      </c>
      <c r="P333" t="s">
        <v>12</v>
      </c>
      <c r="Q333" s="1" t="str">
        <v>Education</v>
      </c>
      <c r="R333">
        <v>2</v>
      </c>
      <c r="S333" s="2" t="s">
        <v>35</v>
      </c>
    </row>
    <row r="334" spans="1:19" x14ac:dyDescent="0.35">
      <c r="A334">
        <v>24</v>
      </c>
      <c r="B334" s="2" t="s">
        <v>38</v>
      </c>
      <c r="C334" t="s">
        <v>20</v>
      </c>
      <c r="D334" s="1" t="str">
        <v>Female</v>
      </c>
      <c r="E334">
        <v>3</v>
      </c>
      <c r="F334" t="s">
        <v>21</v>
      </c>
      <c r="G334" t="s">
        <v>27</v>
      </c>
      <c r="H334" t="s">
        <v>27</v>
      </c>
      <c r="I334">
        <v>7408</v>
      </c>
      <c r="J334" s="2" t="s">
        <v>42</v>
      </c>
      <c r="K334" s="1" t="str">
        <f t="shared" si="15"/>
        <v>Clean</v>
      </c>
      <c r="L334" s="1" t="b">
        <v>1</v>
      </c>
      <c r="M334" s="1" t="str">
        <f t="shared" si="16"/>
        <v>Valid</v>
      </c>
      <c r="N334">
        <v>60</v>
      </c>
      <c r="O334" s="1" t="str">
        <f t="shared" si="17"/>
        <v>Valid</v>
      </c>
      <c r="P334" t="s">
        <v>14</v>
      </c>
      <c r="Q334" s="1" t="str">
        <v>Car</v>
      </c>
      <c r="R334">
        <v>2</v>
      </c>
      <c r="S334" s="2" t="s">
        <v>35</v>
      </c>
    </row>
    <row r="335" spans="1:19" x14ac:dyDescent="0.35">
      <c r="A335">
        <v>24</v>
      </c>
      <c r="B335" s="2" t="s">
        <v>38</v>
      </c>
      <c r="C335" t="s">
        <v>20</v>
      </c>
      <c r="D335" s="1" t="str">
        <v>Female</v>
      </c>
      <c r="E335">
        <v>1</v>
      </c>
      <c r="F335" t="s">
        <v>23</v>
      </c>
      <c r="G335" t="s">
        <v>27</v>
      </c>
      <c r="H335" t="s">
        <v>10</v>
      </c>
      <c r="I335">
        <v>11590</v>
      </c>
      <c r="J335" s="2" t="s">
        <v>42</v>
      </c>
      <c r="K335" s="1" t="str">
        <f t="shared" si="15"/>
        <v>Clean</v>
      </c>
      <c r="L335" s="1" t="b">
        <v>1</v>
      </c>
      <c r="M335" s="1" t="str">
        <f t="shared" si="16"/>
        <v>Valid</v>
      </c>
      <c r="N335">
        <v>48</v>
      </c>
      <c r="O335" s="1" t="str">
        <f t="shared" si="17"/>
        <v>Valid</v>
      </c>
      <c r="P335" t="s">
        <v>14</v>
      </c>
      <c r="Q335" s="1" t="str">
        <v>Car</v>
      </c>
      <c r="R335">
        <v>2</v>
      </c>
      <c r="S335" s="2" t="s">
        <v>35</v>
      </c>
    </row>
    <row r="336" spans="1:19" x14ac:dyDescent="0.35">
      <c r="A336">
        <v>23</v>
      </c>
      <c r="B336" s="2" t="s">
        <v>38</v>
      </c>
      <c r="C336" t="s">
        <v>19</v>
      </c>
      <c r="D336" s="1" t="str">
        <v>Male</v>
      </c>
      <c r="E336">
        <v>2</v>
      </c>
      <c r="F336" t="s">
        <v>23</v>
      </c>
      <c r="G336" t="s">
        <v>24</v>
      </c>
      <c r="H336" t="s">
        <v>24</v>
      </c>
      <c r="I336">
        <v>4110</v>
      </c>
      <c r="J336" s="2" t="s">
        <v>43</v>
      </c>
      <c r="K336" s="1" t="str">
        <f t="shared" si="15"/>
        <v>Clean</v>
      </c>
      <c r="L336" s="1" t="b">
        <v>1</v>
      </c>
      <c r="M336" s="1" t="str">
        <f t="shared" si="16"/>
        <v>Valid</v>
      </c>
      <c r="N336">
        <v>24</v>
      </c>
      <c r="O336" s="1" t="str">
        <f t="shared" si="17"/>
        <v>Valid</v>
      </c>
      <c r="P336" t="s">
        <v>13</v>
      </c>
      <c r="Q336" s="1" t="str">
        <v>Furniture/Equipment</v>
      </c>
      <c r="R336">
        <v>2</v>
      </c>
      <c r="S336" s="2" t="s">
        <v>35</v>
      </c>
    </row>
    <row r="337" spans="1:19" x14ac:dyDescent="0.35">
      <c r="A337">
        <v>44</v>
      </c>
      <c r="B337" s="2" t="s">
        <v>39</v>
      </c>
      <c r="C337" t="s">
        <v>19</v>
      </c>
      <c r="D337" s="1" t="str">
        <v>Male</v>
      </c>
      <c r="E337">
        <v>3</v>
      </c>
      <c r="F337" t="s">
        <v>23</v>
      </c>
      <c r="G337" t="s">
        <v>24</v>
      </c>
      <c r="H337" t="s">
        <v>24</v>
      </c>
      <c r="I337">
        <v>3384</v>
      </c>
      <c r="J337" s="2" t="s">
        <v>43</v>
      </c>
      <c r="K337" s="1" t="str">
        <f t="shared" si="15"/>
        <v>Clean</v>
      </c>
      <c r="L337" s="1" t="b">
        <v>1</v>
      </c>
      <c r="M337" s="1" t="str">
        <f t="shared" si="16"/>
        <v>Valid</v>
      </c>
      <c r="N337">
        <v>6</v>
      </c>
      <c r="O337" s="1" t="str">
        <f t="shared" si="17"/>
        <v>Valid</v>
      </c>
      <c r="P337" t="s">
        <v>13</v>
      </c>
      <c r="Q337" s="1" t="str">
        <v>Furniture/Equipment</v>
      </c>
      <c r="R337">
        <v>2</v>
      </c>
      <c r="S337" s="2" t="s">
        <v>35</v>
      </c>
    </row>
    <row r="338" spans="1:19" x14ac:dyDescent="0.35">
      <c r="A338">
        <v>23</v>
      </c>
      <c r="B338" s="2" t="s">
        <v>38</v>
      </c>
      <c r="C338" t="s">
        <v>20</v>
      </c>
      <c r="D338" s="1" t="str">
        <v>Female</v>
      </c>
      <c r="E338">
        <v>1</v>
      </c>
      <c r="F338" t="s">
        <v>21</v>
      </c>
      <c r="G338" t="s">
        <v>24</v>
      </c>
      <c r="H338" t="s">
        <v>27</v>
      </c>
      <c r="I338">
        <v>2101</v>
      </c>
      <c r="J338" s="2" t="s">
        <v>43</v>
      </c>
      <c r="K338" s="1" t="str">
        <f t="shared" si="15"/>
        <v>Clean</v>
      </c>
      <c r="L338" s="1" t="b">
        <v>1</v>
      </c>
      <c r="M338" s="1" t="str">
        <f t="shared" si="16"/>
        <v>Valid</v>
      </c>
      <c r="N338">
        <v>13</v>
      </c>
      <c r="O338" s="1" t="str">
        <f t="shared" si="17"/>
        <v>Valid</v>
      </c>
      <c r="P338" t="s">
        <v>11</v>
      </c>
      <c r="Q338" s="1" t="str">
        <v>Radio/Tv</v>
      </c>
      <c r="R338">
        <v>1</v>
      </c>
      <c r="S338" s="2" t="s">
        <v>34</v>
      </c>
    </row>
    <row r="339" spans="1:19" x14ac:dyDescent="0.35">
      <c r="A339">
        <v>24</v>
      </c>
      <c r="B339" s="2" t="s">
        <v>38</v>
      </c>
      <c r="C339" t="s">
        <v>20</v>
      </c>
      <c r="D339" s="1" t="str">
        <v>Female</v>
      </c>
      <c r="E339">
        <v>2</v>
      </c>
      <c r="F339" t="s">
        <v>23</v>
      </c>
      <c r="G339" t="s">
        <v>10</v>
      </c>
      <c r="H339" t="s">
        <v>24</v>
      </c>
      <c r="I339">
        <v>1275</v>
      </c>
      <c r="J339" s="2" t="s">
        <v>41</v>
      </c>
      <c r="K339" s="1" t="str">
        <f t="shared" si="15"/>
        <v>Has Spaces</v>
      </c>
      <c r="L339" s="1" t="b">
        <v>1</v>
      </c>
      <c r="M339" s="1" t="str">
        <f t="shared" si="16"/>
        <v>Valid</v>
      </c>
      <c r="N339">
        <v>15</v>
      </c>
      <c r="O339" s="1" t="str">
        <f t="shared" si="17"/>
        <v>Valid</v>
      </c>
      <c r="P339" t="s">
        <v>16</v>
      </c>
      <c r="Q339" s="1" t="str">
        <v>Domestic Appliances</v>
      </c>
      <c r="R339">
        <v>2</v>
      </c>
      <c r="S339" s="2" t="s">
        <v>35</v>
      </c>
    </row>
    <row r="340" spans="1:19" x14ac:dyDescent="0.35">
      <c r="A340">
        <v>28</v>
      </c>
      <c r="B340" s="2" t="s">
        <v>38</v>
      </c>
      <c r="C340" t="s">
        <v>19</v>
      </c>
      <c r="D340" s="1" t="str">
        <v>Male</v>
      </c>
      <c r="E340">
        <v>2</v>
      </c>
      <c r="F340" t="s">
        <v>21</v>
      </c>
      <c r="G340" t="s">
        <v>24</v>
      </c>
      <c r="H340" t="s">
        <v>24</v>
      </c>
      <c r="I340">
        <v>4169</v>
      </c>
      <c r="J340" s="2" t="s">
        <v>43</v>
      </c>
      <c r="K340" s="1" t="str">
        <f t="shared" si="15"/>
        <v>Clean</v>
      </c>
      <c r="L340" s="1" t="b">
        <v>1</v>
      </c>
      <c r="M340" s="1" t="str">
        <f t="shared" si="16"/>
        <v>Valid</v>
      </c>
      <c r="N340">
        <v>24</v>
      </c>
      <c r="O340" s="1" t="str">
        <f t="shared" si="17"/>
        <v>Valid</v>
      </c>
      <c r="P340" t="s">
        <v>13</v>
      </c>
      <c r="Q340" s="1" t="str">
        <v>Furniture/Equipment</v>
      </c>
      <c r="R340">
        <v>1</v>
      </c>
      <c r="S340" s="2" t="s">
        <v>34</v>
      </c>
    </row>
    <row r="341" spans="1:19" x14ac:dyDescent="0.35">
      <c r="A341">
        <v>31</v>
      </c>
      <c r="B341" s="2" t="s">
        <v>39</v>
      </c>
      <c r="C341" t="s">
        <v>19</v>
      </c>
      <c r="D341" s="1" t="str">
        <v>Male</v>
      </c>
      <c r="E341">
        <v>1</v>
      </c>
      <c r="F341" t="s">
        <v>21</v>
      </c>
      <c r="G341" t="s">
        <v>24</v>
      </c>
      <c r="H341" t="s">
        <v>27</v>
      </c>
      <c r="I341">
        <v>1521</v>
      </c>
      <c r="J341" s="2" t="s">
        <v>41</v>
      </c>
      <c r="K341" s="1" t="str">
        <f t="shared" si="15"/>
        <v>Has Spaces</v>
      </c>
      <c r="L341" s="1" t="b">
        <v>1</v>
      </c>
      <c r="M341" s="1" t="str">
        <f t="shared" si="16"/>
        <v>Valid</v>
      </c>
      <c r="N341">
        <v>10</v>
      </c>
      <c r="O341" s="1" t="str">
        <f t="shared" si="17"/>
        <v>Valid</v>
      </c>
      <c r="P341" t="s">
        <v>13</v>
      </c>
      <c r="Q341" s="1" t="str">
        <v>Furniture/Equipment</v>
      </c>
      <c r="R341">
        <v>1</v>
      </c>
      <c r="S341" s="2" t="s">
        <v>34</v>
      </c>
    </row>
    <row r="342" spans="1:19" x14ac:dyDescent="0.35">
      <c r="A342">
        <v>24</v>
      </c>
      <c r="B342" s="2" t="s">
        <v>38</v>
      </c>
      <c r="C342" t="s">
        <v>20</v>
      </c>
      <c r="D342" s="1" t="str">
        <v>Female</v>
      </c>
      <c r="E342">
        <v>2</v>
      </c>
      <c r="F342" t="s">
        <v>22</v>
      </c>
      <c r="G342" t="s">
        <v>24</v>
      </c>
      <c r="H342" t="s">
        <v>27</v>
      </c>
      <c r="I342">
        <v>5743</v>
      </c>
      <c r="J342" s="2" t="s">
        <v>42</v>
      </c>
      <c r="K342" s="1" t="str">
        <f t="shared" si="15"/>
        <v>Clean</v>
      </c>
      <c r="L342" s="1" t="b">
        <v>1</v>
      </c>
      <c r="M342" s="1" t="str">
        <f t="shared" si="16"/>
        <v>Valid</v>
      </c>
      <c r="N342">
        <v>24</v>
      </c>
      <c r="O342" s="1" t="str">
        <f t="shared" si="17"/>
        <v>Valid</v>
      </c>
      <c r="P342" t="s">
        <v>12</v>
      </c>
      <c r="Q342" s="1" t="str">
        <v>Education</v>
      </c>
      <c r="R342">
        <v>1</v>
      </c>
      <c r="S342" s="2" t="s">
        <v>34</v>
      </c>
    </row>
    <row r="343" spans="1:19" x14ac:dyDescent="0.35">
      <c r="A343">
        <v>26</v>
      </c>
      <c r="B343" s="2" t="s">
        <v>38</v>
      </c>
      <c r="C343" t="s">
        <v>20</v>
      </c>
      <c r="D343" s="1" t="str">
        <v>Female</v>
      </c>
      <c r="E343">
        <v>1</v>
      </c>
      <c r="F343" t="s">
        <v>23</v>
      </c>
      <c r="G343" t="s">
        <v>24</v>
      </c>
      <c r="H343" t="s">
        <v>24</v>
      </c>
      <c r="I343">
        <v>3599</v>
      </c>
      <c r="J343" s="2" t="s">
        <v>43</v>
      </c>
      <c r="K343" s="1" t="str">
        <f t="shared" si="15"/>
        <v>Clean</v>
      </c>
      <c r="L343" s="1" t="b">
        <v>1</v>
      </c>
      <c r="M343" s="1" t="str">
        <f t="shared" si="16"/>
        <v>Valid</v>
      </c>
      <c r="N343">
        <v>21</v>
      </c>
      <c r="O343" s="1" t="str">
        <f t="shared" si="17"/>
        <v>Valid</v>
      </c>
      <c r="P343" t="s">
        <v>13</v>
      </c>
      <c r="Q343" s="1" t="str">
        <v>Furniture/Equipment</v>
      </c>
      <c r="R343">
        <v>1</v>
      </c>
      <c r="S343" s="2" t="s">
        <v>34</v>
      </c>
    </row>
    <row r="344" spans="1:19" x14ac:dyDescent="0.35">
      <c r="A344">
        <v>25</v>
      </c>
      <c r="B344" s="2" t="s">
        <v>38</v>
      </c>
      <c r="C344" t="s">
        <v>19</v>
      </c>
      <c r="D344" s="1" t="str">
        <v>Male</v>
      </c>
      <c r="E344">
        <v>2</v>
      </c>
      <c r="F344" t="s">
        <v>23</v>
      </c>
      <c r="G344" t="s">
        <v>25</v>
      </c>
      <c r="H344" t="s">
        <v>27</v>
      </c>
      <c r="I344">
        <v>3213</v>
      </c>
      <c r="J344" s="2" t="s">
        <v>43</v>
      </c>
      <c r="K344" s="1" t="str">
        <f t="shared" si="15"/>
        <v>Clean</v>
      </c>
      <c r="L344" s="1" t="b">
        <v>1</v>
      </c>
      <c r="M344" s="1" t="str">
        <f t="shared" si="16"/>
        <v>Valid</v>
      </c>
      <c r="N344">
        <v>18</v>
      </c>
      <c r="O344" s="1" t="str">
        <f t="shared" si="17"/>
        <v>Valid</v>
      </c>
      <c r="P344" t="s">
        <v>11</v>
      </c>
      <c r="Q344" s="1" t="str">
        <v>Radio/Tv</v>
      </c>
      <c r="R344">
        <v>1</v>
      </c>
      <c r="S344" s="2" t="s">
        <v>34</v>
      </c>
    </row>
    <row r="345" spans="1:19" x14ac:dyDescent="0.35">
      <c r="A345">
        <v>33</v>
      </c>
      <c r="B345" s="2" t="s">
        <v>39</v>
      </c>
      <c r="C345" t="s">
        <v>19</v>
      </c>
      <c r="D345" s="1" t="str">
        <v>Male</v>
      </c>
      <c r="E345">
        <v>3</v>
      </c>
      <c r="F345" t="s">
        <v>21</v>
      </c>
      <c r="G345" t="s">
        <v>24</v>
      </c>
      <c r="H345" t="s">
        <v>27</v>
      </c>
      <c r="I345">
        <v>4439</v>
      </c>
      <c r="J345" s="2" t="s">
        <v>43</v>
      </c>
      <c r="K345" s="1" t="str">
        <f t="shared" si="15"/>
        <v>Clean</v>
      </c>
      <c r="L345" s="1" t="b">
        <v>1</v>
      </c>
      <c r="M345" s="1" t="str">
        <f t="shared" si="16"/>
        <v>Valid</v>
      </c>
      <c r="N345">
        <v>18</v>
      </c>
      <c r="O345" s="1" t="str">
        <f t="shared" si="17"/>
        <v>Valid</v>
      </c>
      <c r="P345" t="s">
        <v>15</v>
      </c>
      <c r="Q345" s="1" t="str">
        <v>Business</v>
      </c>
      <c r="R345">
        <v>1</v>
      </c>
      <c r="S345" s="2" t="s">
        <v>34</v>
      </c>
    </row>
    <row r="346" spans="1:19" x14ac:dyDescent="0.35">
      <c r="A346">
        <v>37</v>
      </c>
      <c r="B346" s="2" t="s">
        <v>39</v>
      </c>
      <c r="C346" t="s">
        <v>19</v>
      </c>
      <c r="D346" s="1" t="str">
        <v>Male</v>
      </c>
      <c r="E346">
        <v>1</v>
      </c>
      <c r="F346" t="s">
        <v>21</v>
      </c>
      <c r="G346" t="s">
        <v>24</v>
      </c>
      <c r="H346" t="s">
        <v>26</v>
      </c>
      <c r="I346">
        <v>3949</v>
      </c>
      <c r="J346" s="2" t="s">
        <v>43</v>
      </c>
      <c r="K346" s="1" t="str">
        <f t="shared" si="15"/>
        <v>Clean</v>
      </c>
      <c r="L346" s="1" t="b">
        <v>1</v>
      </c>
      <c r="M346" s="1" t="str">
        <f t="shared" si="16"/>
        <v>Valid</v>
      </c>
      <c r="N346">
        <v>10</v>
      </c>
      <c r="O346" s="1" t="str">
        <f t="shared" si="17"/>
        <v>Valid</v>
      </c>
      <c r="P346" t="s">
        <v>14</v>
      </c>
      <c r="Q346" s="1" t="str">
        <v>Car</v>
      </c>
      <c r="R346">
        <v>1</v>
      </c>
      <c r="S346" s="2" t="s">
        <v>34</v>
      </c>
    </row>
    <row r="347" spans="1:19" x14ac:dyDescent="0.35">
      <c r="A347">
        <v>43</v>
      </c>
      <c r="B347" s="2" t="s">
        <v>39</v>
      </c>
      <c r="C347" t="s">
        <v>20</v>
      </c>
      <c r="D347" s="1" t="str">
        <v>Female</v>
      </c>
      <c r="E347">
        <v>1</v>
      </c>
      <c r="F347" t="s">
        <v>21</v>
      </c>
      <c r="G347" t="s">
        <v>24</v>
      </c>
      <c r="H347" t="s">
        <v>10</v>
      </c>
      <c r="I347">
        <v>1459</v>
      </c>
      <c r="J347" s="2" t="s">
        <v>41</v>
      </c>
      <c r="K347" s="1" t="str">
        <f t="shared" si="15"/>
        <v>Has Spaces</v>
      </c>
      <c r="L347" s="1" t="b">
        <v>1</v>
      </c>
      <c r="M347" s="1" t="str">
        <f t="shared" si="16"/>
        <v>Valid</v>
      </c>
      <c r="N347">
        <v>15</v>
      </c>
      <c r="O347" s="1" t="str">
        <f t="shared" si="17"/>
        <v>Valid</v>
      </c>
      <c r="P347" t="s">
        <v>11</v>
      </c>
      <c r="Q347" s="1" t="str">
        <v>Radio/Tv</v>
      </c>
      <c r="R347">
        <v>1</v>
      </c>
      <c r="S347" s="2" t="s">
        <v>34</v>
      </c>
    </row>
    <row r="348" spans="1:19" x14ac:dyDescent="0.35">
      <c r="A348">
        <v>23</v>
      </c>
      <c r="B348" s="2" t="s">
        <v>38</v>
      </c>
      <c r="C348" t="s">
        <v>19</v>
      </c>
      <c r="D348" s="1" t="str">
        <v>Male</v>
      </c>
      <c r="E348">
        <v>2</v>
      </c>
      <c r="F348" t="s">
        <v>21</v>
      </c>
      <c r="G348" t="s">
        <v>24</v>
      </c>
      <c r="H348" t="s">
        <v>27</v>
      </c>
      <c r="I348">
        <v>882</v>
      </c>
      <c r="J348" s="2" t="s">
        <v>41</v>
      </c>
      <c r="K348" s="1" t="str">
        <f t="shared" si="15"/>
        <v>Has Spaces</v>
      </c>
      <c r="L348" s="1" t="b">
        <v>1</v>
      </c>
      <c r="M348" s="1" t="str">
        <f t="shared" si="16"/>
        <v>Valid</v>
      </c>
      <c r="N348">
        <v>13</v>
      </c>
      <c r="O348" s="1" t="str">
        <f t="shared" si="17"/>
        <v>Valid</v>
      </c>
      <c r="P348" t="s">
        <v>11</v>
      </c>
      <c r="Q348" s="1" t="str">
        <v>Radio/Tv</v>
      </c>
      <c r="R348">
        <v>1</v>
      </c>
      <c r="S348" s="2" t="s">
        <v>34</v>
      </c>
    </row>
    <row r="349" spans="1:19" x14ac:dyDescent="0.35">
      <c r="A349">
        <v>23</v>
      </c>
      <c r="B349" s="2" t="s">
        <v>38</v>
      </c>
      <c r="C349" t="s">
        <v>20</v>
      </c>
      <c r="D349" s="1" t="str">
        <v>Female</v>
      </c>
      <c r="E349">
        <v>0</v>
      </c>
      <c r="F349" t="s">
        <v>23</v>
      </c>
      <c r="G349" t="s">
        <v>25</v>
      </c>
      <c r="H349" t="s">
        <v>27</v>
      </c>
      <c r="I349">
        <v>3758</v>
      </c>
      <c r="J349" s="2" t="s">
        <v>43</v>
      </c>
      <c r="K349" s="1" t="str">
        <f t="shared" si="15"/>
        <v>Clean</v>
      </c>
      <c r="L349" s="1" t="b">
        <v>1</v>
      </c>
      <c r="M349" s="1" t="str">
        <f t="shared" si="16"/>
        <v>Valid</v>
      </c>
      <c r="N349">
        <v>24</v>
      </c>
      <c r="O349" s="1" t="str">
        <f t="shared" si="17"/>
        <v>Valid</v>
      </c>
      <c r="P349" t="s">
        <v>11</v>
      </c>
      <c r="Q349" s="1" t="str">
        <v>Radio/Tv</v>
      </c>
      <c r="R349">
        <v>1</v>
      </c>
      <c r="S349" s="2" t="s">
        <v>34</v>
      </c>
    </row>
    <row r="350" spans="1:19" x14ac:dyDescent="0.35">
      <c r="A350">
        <v>34</v>
      </c>
      <c r="B350" s="2" t="s">
        <v>39</v>
      </c>
      <c r="C350" t="s">
        <v>19</v>
      </c>
      <c r="D350" s="1" t="str">
        <v>Male</v>
      </c>
      <c r="E350">
        <v>1</v>
      </c>
      <c r="F350" t="s">
        <v>21</v>
      </c>
      <c r="G350" t="s">
        <v>27</v>
      </c>
      <c r="H350" t="s">
        <v>10</v>
      </c>
      <c r="I350">
        <v>1743</v>
      </c>
      <c r="J350" s="2" t="s">
        <v>41</v>
      </c>
      <c r="K350" s="1" t="str">
        <f t="shared" si="15"/>
        <v>Has Spaces</v>
      </c>
      <c r="L350" s="1" t="b">
        <v>1</v>
      </c>
      <c r="M350" s="1" t="str">
        <f t="shared" si="16"/>
        <v>Valid</v>
      </c>
      <c r="N350">
        <v>6</v>
      </c>
      <c r="O350" s="1" t="str">
        <f t="shared" si="17"/>
        <v>Valid</v>
      </c>
      <c r="P350" t="s">
        <v>15</v>
      </c>
      <c r="Q350" s="1" t="str">
        <v>Business</v>
      </c>
      <c r="R350">
        <v>1</v>
      </c>
      <c r="S350" s="2" t="s">
        <v>34</v>
      </c>
    </row>
    <row r="351" spans="1:19" x14ac:dyDescent="0.35">
      <c r="A351">
        <v>32</v>
      </c>
      <c r="B351" s="2" t="s">
        <v>39</v>
      </c>
      <c r="C351" t="s">
        <v>19</v>
      </c>
      <c r="D351" s="1" t="str">
        <v>Male</v>
      </c>
      <c r="E351">
        <v>2</v>
      </c>
      <c r="F351" t="s">
        <v>22</v>
      </c>
      <c r="G351" t="s">
        <v>26</v>
      </c>
      <c r="H351" t="s">
        <v>27</v>
      </c>
      <c r="I351">
        <v>1136</v>
      </c>
      <c r="J351" s="2" t="s">
        <v>41</v>
      </c>
      <c r="K351" s="1" t="str">
        <f t="shared" si="15"/>
        <v>Has Spaces</v>
      </c>
      <c r="L351" s="1" t="b">
        <v>1</v>
      </c>
      <c r="M351" s="1" t="str">
        <f t="shared" si="16"/>
        <v>Valid</v>
      </c>
      <c r="N351">
        <v>9</v>
      </c>
      <c r="O351" s="1" t="str">
        <f t="shared" si="17"/>
        <v>Valid</v>
      </c>
      <c r="P351" t="s">
        <v>12</v>
      </c>
      <c r="Q351" s="1" t="str">
        <v>Education</v>
      </c>
      <c r="R351">
        <v>2</v>
      </c>
      <c r="S351" s="2" t="s">
        <v>35</v>
      </c>
    </row>
    <row r="352" spans="1:19" x14ac:dyDescent="0.35">
      <c r="A352">
        <v>23</v>
      </c>
      <c r="B352" s="2" t="s">
        <v>38</v>
      </c>
      <c r="C352" t="s">
        <v>20</v>
      </c>
      <c r="D352" s="1" t="str">
        <v>Female</v>
      </c>
      <c r="E352">
        <v>2</v>
      </c>
      <c r="F352" t="s">
        <v>23</v>
      </c>
      <c r="G352" t="s">
        <v>24</v>
      </c>
      <c r="H352" t="s">
        <v>10</v>
      </c>
      <c r="I352">
        <v>1236</v>
      </c>
      <c r="J352" s="2" t="s">
        <v>41</v>
      </c>
      <c r="K352" s="1" t="str">
        <f t="shared" si="15"/>
        <v>Has Spaces</v>
      </c>
      <c r="L352" s="1" t="b">
        <v>1</v>
      </c>
      <c r="M352" s="1" t="str">
        <f t="shared" si="16"/>
        <v>Valid</v>
      </c>
      <c r="N352">
        <v>9</v>
      </c>
      <c r="O352" s="1" t="str">
        <f t="shared" si="17"/>
        <v>Valid</v>
      </c>
      <c r="P352" t="s">
        <v>16</v>
      </c>
      <c r="Q352" s="1" t="str">
        <v>Domestic Appliances</v>
      </c>
      <c r="R352">
        <v>1</v>
      </c>
      <c r="S352" s="2" t="s">
        <v>34</v>
      </c>
    </row>
    <row r="353" spans="1:19" x14ac:dyDescent="0.35">
      <c r="A353">
        <v>29</v>
      </c>
      <c r="B353" s="2" t="s">
        <v>38</v>
      </c>
      <c r="C353" t="s">
        <v>20</v>
      </c>
      <c r="D353" s="1" t="str">
        <v>Female</v>
      </c>
      <c r="E353">
        <v>2</v>
      </c>
      <c r="F353" t="s">
        <v>21</v>
      </c>
      <c r="G353" t="s">
        <v>24</v>
      </c>
      <c r="H353" t="s">
        <v>27</v>
      </c>
      <c r="I353">
        <v>959</v>
      </c>
      <c r="J353" s="2" t="s">
        <v>41</v>
      </c>
      <c r="K353" s="1" t="str">
        <f t="shared" si="15"/>
        <v>Has Spaces</v>
      </c>
      <c r="L353" s="1" t="b">
        <v>1</v>
      </c>
      <c r="M353" s="1" t="str">
        <f t="shared" si="16"/>
        <v>Valid</v>
      </c>
      <c r="N353">
        <v>9</v>
      </c>
      <c r="O353" s="1" t="str">
        <f t="shared" si="17"/>
        <v>Valid</v>
      </c>
      <c r="P353" t="s">
        <v>13</v>
      </c>
      <c r="Q353" s="1" t="str">
        <v>Furniture/Equipment</v>
      </c>
      <c r="R353">
        <v>2</v>
      </c>
      <c r="S353" s="2" t="s">
        <v>35</v>
      </c>
    </row>
    <row r="354" spans="1:19" x14ac:dyDescent="0.35">
      <c r="A354">
        <v>38</v>
      </c>
      <c r="B354" s="2" t="s">
        <v>39</v>
      </c>
      <c r="C354" t="s">
        <v>19</v>
      </c>
      <c r="D354" s="1" t="str">
        <v>Male</v>
      </c>
      <c r="E354">
        <v>3</v>
      </c>
      <c r="F354" t="s">
        <v>21</v>
      </c>
      <c r="G354" t="s">
        <v>10</v>
      </c>
      <c r="H354" t="s">
        <v>10</v>
      </c>
      <c r="I354">
        <v>3229</v>
      </c>
      <c r="J354" s="2" t="s">
        <v>43</v>
      </c>
      <c r="K354" s="1" t="str">
        <f t="shared" si="15"/>
        <v>Clean</v>
      </c>
      <c r="L354" s="1" t="b">
        <v>1</v>
      </c>
      <c r="M354" s="1" t="str">
        <f t="shared" si="16"/>
        <v>Valid</v>
      </c>
      <c r="N354">
        <v>18</v>
      </c>
      <c r="O354" s="1" t="str">
        <f t="shared" si="17"/>
        <v>Valid</v>
      </c>
      <c r="P354" t="s">
        <v>14</v>
      </c>
      <c r="Q354" s="1" t="str">
        <v>Car</v>
      </c>
      <c r="R354">
        <v>1</v>
      </c>
      <c r="S354" s="2" t="s">
        <v>34</v>
      </c>
    </row>
    <row r="355" spans="1:19" x14ac:dyDescent="0.35">
      <c r="A355">
        <v>28</v>
      </c>
      <c r="B355" s="2" t="s">
        <v>38</v>
      </c>
      <c r="C355" t="s">
        <v>19</v>
      </c>
      <c r="D355" s="1" t="str">
        <v>Male</v>
      </c>
      <c r="E355">
        <v>2</v>
      </c>
      <c r="F355" t="s">
        <v>23</v>
      </c>
      <c r="G355" t="s">
        <v>24</v>
      </c>
      <c r="H355" t="s">
        <v>24</v>
      </c>
      <c r="I355">
        <v>6199</v>
      </c>
      <c r="J355" s="2" t="s">
        <v>42</v>
      </c>
      <c r="K355" s="1" t="str">
        <f t="shared" si="15"/>
        <v>Clean</v>
      </c>
      <c r="L355" s="1" t="b">
        <v>1</v>
      </c>
      <c r="M355" s="1" t="str">
        <f t="shared" si="16"/>
        <v>Valid</v>
      </c>
      <c r="N355">
        <v>12</v>
      </c>
      <c r="O355" s="1" t="str">
        <f t="shared" si="17"/>
        <v>Valid</v>
      </c>
      <c r="P355" t="s">
        <v>11</v>
      </c>
      <c r="Q355" s="1" t="str">
        <v>Radio/Tv</v>
      </c>
      <c r="R355">
        <v>2</v>
      </c>
      <c r="S355" s="2" t="s">
        <v>35</v>
      </c>
    </row>
    <row r="356" spans="1:19" x14ac:dyDescent="0.35">
      <c r="A356">
        <v>46</v>
      </c>
      <c r="B356" s="2" t="s">
        <v>39</v>
      </c>
      <c r="C356" t="s">
        <v>19</v>
      </c>
      <c r="D356" s="1" t="str">
        <v>Male</v>
      </c>
      <c r="E356">
        <v>2</v>
      </c>
      <c r="F356" t="s">
        <v>22</v>
      </c>
      <c r="G356" t="s">
        <v>25</v>
      </c>
      <c r="H356" t="s">
        <v>10</v>
      </c>
      <c r="I356">
        <v>727</v>
      </c>
      <c r="J356" s="2" t="s">
        <v>41</v>
      </c>
      <c r="K356" s="1" t="str">
        <f t="shared" si="15"/>
        <v>Has Spaces</v>
      </c>
      <c r="L356" s="1" t="b">
        <v>1</v>
      </c>
      <c r="M356" s="1" t="str">
        <f t="shared" si="16"/>
        <v>Valid</v>
      </c>
      <c r="N356">
        <v>10</v>
      </c>
      <c r="O356" s="1" t="str">
        <f t="shared" si="17"/>
        <v>Valid</v>
      </c>
      <c r="P356" t="s">
        <v>12</v>
      </c>
      <c r="Q356" s="1" t="str">
        <v>Education</v>
      </c>
      <c r="R356">
        <v>1</v>
      </c>
      <c r="S356" s="2" t="s">
        <v>34</v>
      </c>
    </row>
    <row r="357" spans="1:19" x14ac:dyDescent="0.35">
      <c r="A357">
        <v>23</v>
      </c>
      <c r="B357" s="2" t="s">
        <v>38</v>
      </c>
      <c r="C357" t="s">
        <v>19</v>
      </c>
      <c r="D357" s="1" t="str">
        <v>Male</v>
      </c>
      <c r="E357">
        <v>1</v>
      </c>
      <c r="F357" t="s">
        <v>21</v>
      </c>
      <c r="G357" t="s">
        <v>24</v>
      </c>
      <c r="H357" t="s">
        <v>27</v>
      </c>
      <c r="I357">
        <v>1246</v>
      </c>
      <c r="J357" s="2" t="s">
        <v>41</v>
      </c>
      <c r="K357" s="1" t="str">
        <f t="shared" si="15"/>
        <v>Has Spaces</v>
      </c>
      <c r="L357" s="1" t="b">
        <v>1</v>
      </c>
      <c r="M357" s="1" t="str">
        <f t="shared" si="16"/>
        <v>Valid</v>
      </c>
      <c r="N357">
        <v>24</v>
      </c>
      <c r="O357" s="1" t="str">
        <f t="shared" si="17"/>
        <v>Valid</v>
      </c>
      <c r="P357" t="s">
        <v>14</v>
      </c>
      <c r="Q357" s="1" t="str">
        <v>Car</v>
      </c>
      <c r="R357">
        <v>2</v>
      </c>
      <c r="S357" s="2" t="s">
        <v>35</v>
      </c>
    </row>
    <row r="358" spans="1:19" x14ac:dyDescent="0.35">
      <c r="A358">
        <v>49</v>
      </c>
      <c r="B358" s="2" t="s">
        <v>39</v>
      </c>
      <c r="C358" t="s">
        <v>19</v>
      </c>
      <c r="D358" s="1" t="str">
        <v>Male</v>
      </c>
      <c r="E358">
        <v>2</v>
      </c>
      <c r="F358" t="s">
        <v>21</v>
      </c>
      <c r="G358" t="s">
        <v>10</v>
      </c>
      <c r="H358" t="s">
        <v>10</v>
      </c>
      <c r="I358">
        <v>2331</v>
      </c>
      <c r="J358" s="2" t="s">
        <v>43</v>
      </c>
      <c r="K358" s="1" t="str">
        <f t="shared" si="15"/>
        <v>Clean</v>
      </c>
      <c r="L358" s="1" t="b">
        <v>1</v>
      </c>
      <c r="M358" s="1" t="str">
        <f t="shared" si="16"/>
        <v>Valid</v>
      </c>
      <c r="N358">
        <v>12</v>
      </c>
      <c r="O358" s="1" t="str">
        <f t="shared" si="17"/>
        <v>Valid</v>
      </c>
      <c r="P358" t="s">
        <v>11</v>
      </c>
      <c r="Q358" s="1" t="str">
        <v>Radio/Tv</v>
      </c>
      <c r="R358">
        <v>1</v>
      </c>
      <c r="S358" s="2" t="s">
        <v>34</v>
      </c>
    </row>
    <row r="359" spans="1:19" x14ac:dyDescent="0.35">
      <c r="A359">
        <v>26</v>
      </c>
      <c r="B359" s="2" t="s">
        <v>38</v>
      </c>
      <c r="C359" t="s">
        <v>19</v>
      </c>
      <c r="D359" s="1" t="str">
        <v>Male</v>
      </c>
      <c r="E359">
        <v>3</v>
      </c>
      <c r="F359" t="s">
        <v>21</v>
      </c>
      <c r="G359" t="s">
        <v>24</v>
      </c>
      <c r="H359" t="s">
        <v>10</v>
      </c>
      <c r="I359">
        <v>4463</v>
      </c>
      <c r="J359" s="2" t="s">
        <v>43</v>
      </c>
      <c r="K359" s="1" t="str">
        <f t="shared" si="15"/>
        <v>Clean</v>
      </c>
      <c r="L359" s="1" t="b">
        <v>1</v>
      </c>
      <c r="M359" s="1" t="str">
        <f t="shared" si="16"/>
        <v>Valid</v>
      </c>
      <c r="N359">
        <v>36</v>
      </c>
      <c r="O359" s="1" t="str">
        <f t="shared" si="17"/>
        <v>Valid</v>
      </c>
      <c r="P359" t="s">
        <v>11</v>
      </c>
      <c r="Q359" s="1" t="str">
        <v>Radio/Tv</v>
      </c>
      <c r="R359">
        <v>2</v>
      </c>
      <c r="S359" s="2" t="s">
        <v>35</v>
      </c>
    </row>
    <row r="360" spans="1:19" x14ac:dyDescent="0.35">
      <c r="A360">
        <v>28</v>
      </c>
      <c r="B360" s="2" t="s">
        <v>38</v>
      </c>
      <c r="C360" t="s">
        <v>19</v>
      </c>
      <c r="D360" s="1" t="str">
        <v>Male</v>
      </c>
      <c r="E360">
        <v>2</v>
      </c>
      <c r="F360" t="s">
        <v>21</v>
      </c>
      <c r="G360" t="s">
        <v>24</v>
      </c>
      <c r="H360" t="s">
        <v>10</v>
      </c>
      <c r="I360">
        <v>776</v>
      </c>
      <c r="J360" s="2" t="s">
        <v>41</v>
      </c>
      <c r="K360" s="1" t="str">
        <f t="shared" si="15"/>
        <v>Has Spaces</v>
      </c>
      <c r="L360" s="1" t="b">
        <v>1</v>
      </c>
      <c r="M360" s="1" t="str">
        <f t="shared" si="16"/>
        <v>Valid</v>
      </c>
      <c r="N360">
        <v>12</v>
      </c>
      <c r="O360" s="1" t="str">
        <f t="shared" si="17"/>
        <v>Valid</v>
      </c>
      <c r="P360" t="s">
        <v>11</v>
      </c>
      <c r="Q360" s="1" t="str">
        <v>Radio/Tv</v>
      </c>
      <c r="R360">
        <v>1</v>
      </c>
      <c r="S360" s="2" t="s">
        <v>34</v>
      </c>
    </row>
    <row r="361" spans="1:19" x14ac:dyDescent="0.35">
      <c r="A361">
        <v>23</v>
      </c>
      <c r="B361" s="2" t="s">
        <v>38</v>
      </c>
      <c r="C361" t="s">
        <v>20</v>
      </c>
      <c r="D361" s="1" t="str">
        <v>Female</v>
      </c>
      <c r="E361">
        <v>2</v>
      </c>
      <c r="F361" t="s">
        <v>23</v>
      </c>
      <c r="G361" t="s">
        <v>24</v>
      </c>
      <c r="H361" t="s">
        <v>24</v>
      </c>
      <c r="I361">
        <v>2406</v>
      </c>
      <c r="J361" s="2" t="s">
        <v>43</v>
      </c>
      <c r="K361" s="1" t="str">
        <f t="shared" si="15"/>
        <v>Clean</v>
      </c>
      <c r="L361" s="1" t="b">
        <v>1</v>
      </c>
      <c r="M361" s="1" t="str">
        <f t="shared" si="16"/>
        <v>Valid</v>
      </c>
      <c r="N361">
        <v>30</v>
      </c>
      <c r="O361" s="1" t="str">
        <f t="shared" si="17"/>
        <v>Valid</v>
      </c>
      <c r="P361" t="s">
        <v>13</v>
      </c>
      <c r="Q361" s="1" t="str">
        <v>Furniture/Equipment</v>
      </c>
      <c r="R361">
        <v>2</v>
      </c>
      <c r="S361" s="2" t="s">
        <v>35</v>
      </c>
    </row>
    <row r="362" spans="1:19" x14ac:dyDescent="0.35">
      <c r="A362">
        <v>61</v>
      </c>
      <c r="B362" s="2" t="s">
        <v>37</v>
      </c>
      <c r="C362" t="s">
        <v>19</v>
      </c>
      <c r="D362" s="1" t="str">
        <v>Male</v>
      </c>
      <c r="E362">
        <v>2</v>
      </c>
      <c r="F362" t="s">
        <v>22</v>
      </c>
      <c r="G362" t="s">
        <v>10</v>
      </c>
      <c r="H362" t="s">
        <v>27</v>
      </c>
      <c r="I362">
        <v>1239</v>
      </c>
      <c r="J362" s="2" t="s">
        <v>41</v>
      </c>
      <c r="K362" s="1" t="str">
        <f t="shared" si="15"/>
        <v>Has Spaces</v>
      </c>
      <c r="L362" s="1" t="b">
        <v>1</v>
      </c>
      <c r="M362" s="1" t="str">
        <f t="shared" si="16"/>
        <v>Valid</v>
      </c>
      <c r="N362">
        <v>18</v>
      </c>
      <c r="O362" s="1" t="str">
        <f t="shared" si="17"/>
        <v>Valid</v>
      </c>
      <c r="P362" t="s">
        <v>12</v>
      </c>
      <c r="Q362" s="1" t="str">
        <v>Education</v>
      </c>
      <c r="R362">
        <v>1</v>
      </c>
      <c r="S362" s="2" t="s">
        <v>34</v>
      </c>
    </row>
    <row r="363" spans="1:19" x14ac:dyDescent="0.35">
      <c r="A363">
        <v>37</v>
      </c>
      <c r="B363" s="2" t="s">
        <v>39</v>
      </c>
      <c r="C363" t="s">
        <v>19</v>
      </c>
      <c r="D363" s="1" t="str">
        <v>Male</v>
      </c>
      <c r="E363">
        <v>3</v>
      </c>
      <c r="F363" t="s">
        <v>21</v>
      </c>
      <c r="G363" t="s">
        <v>10</v>
      </c>
      <c r="H363" t="s">
        <v>26</v>
      </c>
      <c r="I363">
        <v>3399</v>
      </c>
      <c r="J363" s="2" t="s">
        <v>43</v>
      </c>
      <c r="K363" s="1" t="str">
        <f t="shared" si="15"/>
        <v>Clean</v>
      </c>
      <c r="L363" s="1" t="b">
        <v>1</v>
      </c>
      <c r="M363" s="1" t="str">
        <f t="shared" si="16"/>
        <v>Valid</v>
      </c>
      <c r="N363">
        <v>12</v>
      </c>
      <c r="O363" s="1" t="str">
        <f t="shared" si="17"/>
        <v>Valid</v>
      </c>
      <c r="P363" t="s">
        <v>11</v>
      </c>
      <c r="Q363" s="1" t="str">
        <v>Radio/Tv</v>
      </c>
      <c r="R363">
        <v>1</v>
      </c>
      <c r="S363" s="2" t="s">
        <v>34</v>
      </c>
    </row>
    <row r="364" spans="1:19" x14ac:dyDescent="0.35">
      <c r="A364">
        <v>36</v>
      </c>
      <c r="B364" s="2" t="s">
        <v>39</v>
      </c>
      <c r="C364" t="s">
        <v>20</v>
      </c>
      <c r="D364" s="1" t="str">
        <v>Female</v>
      </c>
      <c r="E364">
        <v>2</v>
      </c>
      <c r="F364" t="s">
        <v>21</v>
      </c>
      <c r="G364" t="s">
        <v>24</v>
      </c>
      <c r="H364" t="s">
        <v>26</v>
      </c>
      <c r="I364">
        <v>2247</v>
      </c>
      <c r="J364" s="2" t="s">
        <v>43</v>
      </c>
      <c r="K364" s="1" t="str">
        <f t="shared" si="15"/>
        <v>Clean</v>
      </c>
      <c r="L364" s="1" t="b">
        <v>1</v>
      </c>
      <c r="M364" s="1" t="str">
        <f t="shared" si="16"/>
        <v>Valid</v>
      </c>
      <c r="N364">
        <v>12</v>
      </c>
      <c r="O364" s="1" t="str">
        <f t="shared" si="17"/>
        <v>Valid</v>
      </c>
      <c r="P364" t="s">
        <v>14</v>
      </c>
      <c r="Q364" s="1" t="str">
        <v>Car</v>
      </c>
      <c r="R364">
        <v>1</v>
      </c>
      <c r="S364" s="2" t="s">
        <v>34</v>
      </c>
    </row>
    <row r="365" spans="1:19" x14ac:dyDescent="0.35">
      <c r="A365">
        <v>21</v>
      </c>
      <c r="B365" s="2" t="s">
        <v>38</v>
      </c>
      <c r="C365" t="s">
        <v>19</v>
      </c>
      <c r="D365" s="1" t="str">
        <v>Male</v>
      </c>
      <c r="E365">
        <v>2</v>
      </c>
      <c r="F365" t="s">
        <v>23</v>
      </c>
      <c r="G365" t="s">
        <v>24</v>
      </c>
      <c r="H365" t="s">
        <v>10</v>
      </c>
      <c r="I365">
        <v>1766</v>
      </c>
      <c r="J365" s="2" t="s">
        <v>41</v>
      </c>
      <c r="K365" s="1" t="str">
        <f t="shared" si="15"/>
        <v>Has Spaces</v>
      </c>
      <c r="L365" s="1" t="b">
        <v>1</v>
      </c>
      <c r="M365" s="1" t="str">
        <f t="shared" si="16"/>
        <v>Valid</v>
      </c>
      <c r="N365">
        <v>6</v>
      </c>
      <c r="O365" s="1" t="str">
        <f t="shared" si="17"/>
        <v>Valid</v>
      </c>
      <c r="P365" t="s">
        <v>13</v>
      </c>
      <c r="Q365" s="1" t="str">
        <v>Furniture/Equipment</v>
      </c>
      <c r="R365">
        <v>1</v>
      </c>
      <c r="S365" s="2" t="s">
        <v>34</v>
      </c>
    </row>
    <row r="366" spans="1:19" x14ac:dyDescent="0.35">
      <c r="A366">
        <v>25</v>
      </c>
      <c r="B366" s="2" t="s">
        <v>38</v>
      </c>
      <c r="C366" t="s">
        <v>19</v>
      </c>
      <c r="D366" s="1" t="str">
        <v>Male</v>
      </c>
      <c r="E366">
        <v>0</v>
      </c>
      <c r="F366" t="s">
        <v>21</v>
      </c>
      <c r="G366" t="s">
        <v>24</v>
      </c>
      <c r="H366" t="s">
        <v>24</v>
      </c>
      <c r="I366">
        <v>2473</v>
      </c>
      <c r="J366" s="2" t="s">
        <v>43</v>
      </c>
      <c r="K366" s="1" t="str">
        <f t="shared" si="15"/>
        <v>Clean</v>
      </c>
      <c r="L366" s="1" t="b">
        <v>1</v>
      </c>
      <c r="M366" s="1" t="str">
        <f t="shared" si="16"/>
        <v>Valid</v>
      </c>
      <c r="N366">
        <v>18</v>
      </c>
      <c r="O366" s="1" t="str">
        <f t="shared" si="17"/>
        <v>Valid</v>
      </c>
      <c r="P366" t="s">
        <v>13</v>
      </c>
      <c r="Q366" s="1" t="str">
        <v>Furniture/Equipment</v>
      </c>
      <c r="R366">
        <v>2</v>
      </c>
      <c r="S366" s="2" t="s">
        <v>35</v>
      </c>
    </row>
    <row r="367" spans="1:19" x14ac:dyDescent="0.35">
      <c r="A367">
        <v>36</v>
      </c>
      <c r="B367" s="2" t="s">
        <v>39</v>
      </c>
      <c r="C367" t="s">
        <v>19</v>
      </c>
      <c r="D367" s="1" t="str">
        <v>Male</v>
      </c>
      <c r="E367">
        <v>2</v>
      </c>
      <c r="F367" t="s">
        <v>21</v>
      </c>
      <c r="G367" t="s">
        <v>24</v>
      </c>
      <c r="H367" t="s">
        <v>10</v>
      </c>
      <c r="I367">
        <v>1542</v>
      </c>
      <c r="J367" s="2" t="s">
        <v>41</v>
      </c>
      <c r="K367" s="1" t="str">
        <f t="shared" si="15"/>
        <v>Has Spaces</v>
      </c>
      <c r="L367" s="1" t="b">
        <v>1</v>
      </c>
      <c r="M367" s="1" t="str">
        <f t="shared" si="16"/>
        <v>Valid</v>
      </c>
      <c r="N367">
        <v>12</v>
      </c>
      <c r="O367" s="1" t="str">
        <f t="shared" si="17"/>
        <v>Valid</v>
      </c>
      <c r="P367" t="s">
        <v>15</v>
      </c>
      <c r="Q367" s="1" t="str">
        <v>Business</v>
      </c>
      <c r="R367">
        <v>1</v>
      </c>
      <c r="S367" s="2" t="s">
        <v>34</v>
      </c>
    </row>
    <row r="368" spans="1:19" x14ac:dyDescent="0.35">
      <c r="A368">
        <v>27</v>
      </c>
      <c r="B368" s="2" t="s">
        <v>38</v>
      </c>
      <c r="C368" t="s">
        <v>19</v>
      </c>
      <c r="D368" s="1" t="str">
        <v>Male</v>
      </c>
      <c r="E368">
        <v>2</v>
      </c>
      <c r="F368" t="s">
        <v>21</v>
      </c>
      <c r="G368" t="s">
        <v>24</v>
      </c>
      <c r="H368" t="s">
        <v>10</v>
      </c>
      <c r="I368">
        <v>3850</v>
      </c>
      <c r="J368" s="2" t="s">
        <v>43</v>
      </c>
      <c r="K368" s="1" t="str">
        <f t="shared" si="15"/>
        <v>Clean</v>
      </c>
      <c r="L368" s="1" t="b">
        <v>1</v>
      </c>
      <c r="M368" s="1" t="str">
        <f t="shared" si="16"/>
        <v>Valid</v>
      </c>
      <c r="N368">
        <v>18</v>
      </c>
      <c r="O368" s="1" t="str">
        <f t="shared" si="17"/>
        <v>Valid</v>
      </c>
      <c r="P368" t="s">
        <v>14</v>
      </c>
      <c r="Q368" s="1" t="str">
        <v>Car</v>
      </c>
      <c r="R368">
        <v>1</v>
      </c>
      <c r="S368" s="2" t="s">
        <v>34</v>
      </c>
    </row>
    <row r="369" spans="1:19" x14ac:dyDescent="0.35">
      <c r="A369">
        <v>22</v>
      </c>
      <c r="B369" s="2" t="s">
        <v>38</v>
      </c>
      <c r="C369" t="s">
        <v>20</v>
      </c>
      <c r="D369" s="1" t="str">
        <v>Female</v>
      </c>
      <c r="E369">
        <v>2</v>
      </c>
      <c r="F369" t="s">
        <v>23</v>
      </c>
      <c r="G369" t="s">
        <v>24</v>
      </c>
      <c r="H369" t="s">
        <v>24</v>
      </c>
      <c r="I369">
        <v>3650</v>
      </c>
      <c r="J369" s="2" t="s">
        <v>43</v>
      </c>
      <c r="K369" s="1" t="str">
        <f t="shared" si="15"/>
        <v>Clean</v>
      </c>
      <c r="L369" s="1" t="b">
        <v>1</v>
      </c>
      <c r="M369" s="1" t="str">
        <f t="shared" si="16"/>
        <v>Valid</v>
      </c>
      <c r="N369">
        <v>18</v>
      </c>
      <c r="O369" s="1" t="str">
        <f t="shared" si="17"/>
        <v>Valid</v>
      </c>
      <c r="P369" t="s">
        <v>13</v>
      </c>
      <c r="Q369" s="1" t="str">
        <v>Furniture/Equipment</v>
      </c>
      <c r="R369">
        <v>1</v>
      </c>
      <c r="S369" s="2" t="s">
        <v>34</v>
      </c>
    </row>
    <row r="370" spans="1:19" x14ac:dyDescent="0.35">
      <c r="A370">
        <v>42</v>
      </c>
      <c r="B370" s="2" t="s">
        <v>39</v>
      </c>
      <c r="C370" t="s">
        <v>19</v>
      </c>
      <c r="D370" s="1" t="str">
        <v>Male</v>
      </c>
      <c r="E370">
        <v>2</v>
      </c>
      <c r="F370" t="s">
        <v>21</v>
      </c>
      <c r="G370" t="s">
        <v>24</v>
      </c>
      <c r="H370" t="s">
        <v>24</v>
      </c>
      <c r="I370">
        <v>3446</v>
      </c>
      <c r="J370" s="2" t="s">
        <v>43</v>
      </c>
      <c r="K370" s="1" t="str">
        <f t="shared" si="15"/>
        <v>Clean</v>
      </c>
      <c r="L370" s="1" t="b">
        <v>1</v>
      </c>
      <c r="M370" s="1" t="str">
        <f t="shared" si="16"/>
        <v>Valid</v>
      </c>
      <c r="N370">
        <v>36</v>
      </c>
      <c r="O370" s="1" t="str">
        <f t="shared" si="17"/>
        <v>Valid</v>
      </c>
      <c r="P370" t="s">
        <v>13</v>
      </c>
      <c r="Q370" s="1" t="str">
        <v>Furniture/Equipment</v>
      </c>
      <c r="R370">
        <v>2</v>
      </c>
      <c r="S370" s="2" t="s">
        <v>35</v>
      </c>
    </row>
    <row r="371" spans="1:19" x14ac:dyDescent="0.35">
      <c r="A371">
        <v>40</v>
      </c>
      <c r="B371" s="2" t="s">
        <v>39</v>
      </c>
      <c r="C371" t="s">
        <v>20</v>
      </c>
      <c r="D371" s="1" t="str">
        <v>Female</v>
      </c>
      <c r="E371">
        <v>2</v>
      </c>
      <c r="F371" t="s">
        <v>23</v>
      </c>
      <c r="G371" t="s">
        <v>24</v>
      </c>
      <c r="H371" t="s">
        <v>27</v>
      </c>
      <c r="I371">
        <v>3001</v>
      </c>
      <c r="J371" s="2" t="s">
        <v>43</v>
      </c>
      <c r="K371" s="1" t="str">
        <f t="shared" si="15"/>
        <v>Clean</v>
      </c>
      <c r="L371" s="1" t="b">
        <v>1</v>
      </c>
      <c r="M371" s="1" t="str">
        <f t="shared" si="16"/>
        <v>Valid</v>
      </c>
      <c r="N371">
        <v>18</v>
      </c>
      <c r="O371" s="1" t="str">
        <f t="shared" si="17"/>
        <v>Valid</v>
      </c>
      <c r="P371" t="s">
        <v>13</v>
      </c>
      <c r="Q371" s="1" t="str">
        <v>Furniture/Equipment</v>
      </c>
      <c r="R371">
        <v>1</v>
      </c>
      <c r="S371" s="2" t="s">
        <v>34</v>
      </c>
    </row>
    <row r="372" spans="1:19" x14ac:dyDescent="0.35">
      <c r="A372">
        <v>36</v>
      </c>
      <c r="B372" s="2" t="s">
        <v>39</v>
      </c>
      <c r="C372" t="s">
        <v>19</v>
      </c>
      <c r="D372" s="1" t="str">
        <v>Male</v>
      </c>
      <c r="E372">
        <v>2</v>
      </c>
      <c r="F372" t="s">
        <v>21</v>
      </c>
      <c r="G372" t="s">
        <v>10</v>
      </c>
      <c r="H372" t="s">
        <v>10</v>
      </c>
      <c r="I372">
        <v>3079</v>
      </c>
      <c r="J372" s="2" t="s">
        <v>43</v>
      </c>
      <c r="K372" s="1" t="str">
        <f t="shared" si="15"/>
        <v>Clean</v>
      </c>
      <c r="L372" s="1" t="b">
        <v>1</v>
      </c>
      <c r="M372" s="1" t="str">
        <f t="shared" si="16"/>
        <v>Valid</v>
      </c>
      <c r="N372">
        <v>36</v>
      </c>
      <c r="O372" s="1" t="str">
        <f t="shared" si="17"/>
        <v>Valid</v>
      </c>
      <c r="P372" t="s">
        <v>14</v>
      </c>
      <c r="Q372" s="1" t="str">
        <v>Car</v>
      </c>
      <c r="R372">
        <v>1</v>
      </c>
      <c r="S372" s="2" t="s">
        <v>34</v>
      </c>
    </row>
    <row r="373" spans="1:19" x14ac:dyDescent="0.35">
      <c r="A373">
        <v>33</v>
      </c>
      <c r="B373" s="2" t="s">
        <v>39</v>
      </c>
      <c r="C373" t="s">
        <v>19</v>
      </c>
      <c r="D373" s="1" t="str">
        <v>Male</v>
      </c>
      <c r="E373">
        <v>2</v>
      </c>
      <c r="F373" t="s">
        <v>21</v>
      </c>
      <c r="G373" t="s">
        <v>24</v>
      </c>
      <c r="H373" t="s">
        <v>10</v>
      </c>
      <c r="I373">
        <v>6070</v>
      </c>
      <c r="J373" s="2" t="s">
        <v>42</v>
      </c>
      <c r="K373" s="1" t="str">
        <f t="shared" si="15"/>
        <v>Clean</v>
      </c>
      <c r="L373" s="1" t="b">
        <v>1</v>
      </c>
      <c r="M373" s="1" t="str">
        <f t="shared" si="16"/>
        <v>Valid</v>
      </c>
      <c r="N373">
        <v>18</v>
      </c>
      <c r="O373" s="1" t="str">
        <f t="shared" si="17"/>
        <v>Valid</v>
      </c>
      <c r="P373" t="s">
        <v>11</v>
      </c>
      <c r="Q373" s="1" t="str">
        <v>Radio/Tv</v>
      </c>
      <c r="R373">
        <v>1</v>
      </c>
      <c r="S373" s="2" t="s">
        <v>34</v>
      </c>
    </row>
    <row r="374" spans="1:19" x14ac:dyDescent="0.35">
      <c r="A374">
        <v>23</v>
      </c>
      <c r="B374" s="2" t="s">
        <v>38</v>
      </c>
      <c r="C374" t="s">
        <v>20</v>
      </c>
      <c r="D374" s="1" t="str">
        <v>Female</v>
      </c>
      <c r="E374">
        <v>2</v>
      </c>
      <c r="F374" t="s">
        <v>23</v>
      </c>
      <c r="G374" t="s">
        <v>24</v>
      </c>
      <c r="H374" t="s">
        <v>10</v>
      </c>
      <c r="I374">
        <v>2146</v>
      </c>
      <c r="J374" s="2" t="s">
        <v>43</v>
      </c>
      <c r="K374" s="1" t="str">
        <f t="shared" si="15"/>
        <v>Clean</v>
      </c>
      <c r="L374" s="1" t="b">
        <v>1</v>
      </c>
      <c r="M374" s="1" t="str">
        <f t="shared" si="16"/>
        <v>Valid</v>
      </c>
      <c r="N374">
        <v>10</v>
      </c>
      <c r="O374" s="1" t="str">
        <f t="shared" si="17"/>
        <v>Valid</v>
      </c>
      <c r="P374" t="s">
        <v>13</v>
      </c>
      <c r="Q374" s="1" t="str">
        <v>Furniture/Equipment</v>
      </c>
      <c r="R374">
        <v>1</v>
      </c>
      <c r="S374" s="2" t="s">
        <v>34</v>
      </c>
    </row>
    <row r="375" spans="1:19" x14ac:dyDescent="0.35">
      <c r="A375">
        <v>63</v>
      </c>
      <c r="B375" s="2" t="s">
        <v>37</v>
      </c>
      <c r="C375" t="s">
        <v>19</v>
      </c>
      <c r="D375" s="1" t="str">
        <v>Male</v>
      </c>
      <c r="E375">
        <v>3</v>
      </c>
      <c r="F375" t="s">
        <v>22</v>
      </c>
      <c r="G375" t="s">
        <v>10</v>
      </c>
      <c r="H375" t="s">
        <v>10</v>
      </c>
      <c r="I375">
        <v>13756</v>
      </c>
      <c r="J375" s="2" t="s">
        <v>42</v>
      </c>
      <c r="K375" s="1" t="str">
        <f t="shared" si="15"/>
        <v>Clean</v>
      </c>
      <c r="L375" s="1" t="b">
        <v>1</v>
      </c>
      <c r="M375" s="1" t="str">
        <f t="shared" si="16"/>
        <v>Valid</v>
      </c>
      <c r="N375">
        <v>60</v>
      </c>
      <c r="O375" s="1" t="str">
        <f t="shared" si="17"/>
        <v>Valid</v>
      </c>
      <c r="P375" t="s">
        <v>14</v>
      </c>
      <c r="Q375" s="1" t="str">
        <v>Car</v>
      </c>
      <c r="R375">
        <v>1</v>
      </c>
      <c r="S375" s="2" t="s">
        <v>34</v>
      </c>
    </row>
    <row r="376" spans="1:19" x14ac:dyDescent="0.35">
      <c r="A376">
        <v>60</v>
      </c>
      <c r="B376" s="2" t="s">
        <v>37</v>
      </c>
      <c r="C376" t="s">
        <v>20</v>
      </c>
      <c r="D376" s="1" t="str">
        <v>Female</v>
      </c>
      <c r="E376">
        <v>3</v>
      </c>
      <c r="F376" t="s">
        <v>22</v>
      </c>
      <c r="G376" t="s">
        <v>27</v>
      </c>
      <c r="H376" t="s">
        <v>27</v>
      </c>
      <c r="I376">
        <v>14782</v>
      </c>
      <c r="J376" s="2" t="s">
        <v>42</v>
      </c>
      <c r="K376" s="1" t="str">
        <f t="shared" si="15"/>
        <v>Clean</v>
      </c>
      <c r="L376" s="1" t="b">
        <v>1</v>
      </c>
      <c r="M376" s="1" t="str">
        <f t="shared" si="16"/>
        <v>Valid</v>
      </c>
      <c r="N376">
        <v>60</v>
      </c>
      <c r="O376" s="1" t="str">
        <f t="shared" si="17"/>
        <v>Valid</v>
      </c>
      <c r="P376" t="s">
        <v>18</v>
      </c>
      <c r="Q376" s="1" t="str">
        <v>Vacation/Others</v>
      </c>
      <c r="R376">
        <v>2</v>
      </c>
      <c r="S376" s="2" t="s">
        <v>35</v>
      </c>
    </row>
    <row r="377" spans="1:19" x14ac:dyDescent="0.35">
      <c r="A377">
        <v>37</v>
      </c>
      <c r="B377" s="2" t="s">
        <v>39</v>
      </c>
      <c r="C377" t="s">
        <v>20</v>
      </c>
      <c r="D377" s="1" t="str">
        <v>Female</v>
      </c>
      <c r="E377">
        <v>2</v>
      </c>
      <c r="F377" t="s">
        <v>23</v>
      </c>
      <c r="G377" t="s">
        <v>24</v>
      </c>
      <c r="H377" t="s">
        <v>24</v>
      </c>
      <c r="I377">
        <v>7685</v>
      </c>
      <c r="J377" s="2" t="s">
        <v>42</v>
      </c>
      <c r="K377" s="1" t="str">
        <f t="shared" si="15"/>
        <v>Clean</v>
      </c>
      <c r="L377" s="1" t="b">
        <v>1</v>
      </c>
      <c r="M377" s="1" t="str">
        <f t="shared" si="16"/>
        <v>Valid</v>
      </c>
      <c r="N377">
        <v>48</v>
      </c>
      <c r="O377" s="1" t="str">
        <f t="shared" si="17"/>
        <v>Valid</v>
      </c>
      <c r="P377" t="s">
        <v>15</v>
      </c>
      <c r="Q377" s="1" t="str">
        <v>Business</v>
      </c>
      <c r="R377">
        <v>2</v>
      </c>
      <c r="S377" s="2" t="s">
        <v>35</v>
      </c>
    </row>
    <row r="378" spans="1:19" x14ac:dyDescent="0.35">
      <c r="A378">
        <v>34</v>
      </c>
      <c r="B378" s="2" t="s">
        <v>39</v>
      </c>
      <c r="C378" t="s">
        <v>19</v>
      </c>
      <c r="D378" s="1" t="str">
        <v>Male</v>
      </c>
      <c r="E378">
        <v>2</v>
      </c>
      <c r="F378" t="s">
        <v>21</v>
      </c>
      <c r="G378" t="s">
        <v>24</v>
      </c>
      <c r="H378" t="s">
        <v>10</v>
      </c>
      <c r="I378">
        <v>2320</v>
      </c>
      <c r="J378" s="2" t="s">
        <v>43</v>
      </c>
      <c r="K378" s="1" t="str">
        <f t="shared" si="15"/>
        <v>Clean</v>
      </c>
      <c r="L378" s="1" t="b">
        <v>1</v>
      </c>
      <c r="M378" s="1" t="str">
        <f t="shared" si="16"/>
        <v>Valid</v>
      </c>
      <c r="N378">
        <v>18</v>
      </c>
      <c r="O378" s="1" t="str">
        <f t="shared" si="17"/>
        <v>Valid</v>
      </c>
      <c r="P378" t="s">
        <v>11</v>
      </c>
      <c r="Q378" s="1" t="str">
        <v>Radio/Tv</v>
      </c>
      <c r="R378">
        <v>1</v>
      </c>
      <c r="S378" s="2" t="s">
        <v>34</v>
      </c>
    </row>
    <row r="379" spans="1:19" x14ac:dyDescent="0.35">
      <c r="A379">
        <v>36</v>
      </c>
      <c r="B379" s="2" t="s">
        <v>39</v>
      </c>
      <c r="C379" t="s">
        <v>19</v>
      </c>
      <c r="D379" s="1" t="str">
        <v>Male</v>
      </c>
      <c r="E379">
        <v>2</v>
      </c>
      <c r="F379" t="s">
        <v>22</v>
      </c>
      <c r="G379" t="s">
        <v>10</v>
      </c>
      <c r="H379" t="s">
        <v>10</v>
      </c>
      <c r="I379">
        <v>846</v>
      </c>
      <c r="J379" s="2" t="s">
        <v>41</v>
      </c>
      <c r="K379" s="1" t="str">
        <f t="shared" si="15"/>
        <v>Has Spaces</v>
      </c>
      <c r="L379" s="1" t="b">
        <v>1</v>
      </c>
      <c r="M379" s="1" t="str">
        <f t="shared" si="16"/>
        <v>Valid</v>
      </c>
      <c r="N379">
        <v>7</v>
      </c>
      <c r="O379" s="1" t="str">
        <f t="shared" si="17"/>
        <v>Valid</v>
      </c>
      <c r="P379" t="s">
        <v>11</v>
      </c>
      <c r="Q379" s="1" t="str">
        <v>Radio/Tv</v>
      </c>
      <c r="R379">
        <v>1</v>
      </c>
      <c r="S379" s="2" t="s">
        <v>34</v>
      </c>
    </row>
    <row r="380" spans="1:19" x14ac:dyDescent="0.35">
      <c r="A380">
        <v>57</v>
      </c>
      <c r="B380" s="2" t="s">
        <v>37</v>
      </c>
      <c r="C380" t="s">
        <v>19</v>
      </c>
      <c r="D380" s="1" t="str">
        <v>Male</v>
      </c>
      <c r="E380">
        <v>3</v>
      </c>
      <c r="F380" t="s">
        <v>22</v>
      </c>
      <c r="G380" t="s">
        <v>24</v>
      </c>
      <c r="H380" t="s">
        <v>27</v>
      </c>
      <c r="I380">
        <v>14318</v>
      </c>
      <c r="J380" s="2" t="s">
        <v>42</v>
      </c>
      <c r="K380" s="1" t="str">
        <f t="shared" si="15"/>
        <v>Clean</v>
      </c>
      <c r="L380" s="1" t="b">
        <v>1</v>
      </c>
      <c r="M380" s="1" t="str">
        <f t="shared" si="16"/>
        <v>Valid</v>
      </c>
      <c r="N380">
        <v>36</v>
      </c>
      <c r="O380" s="1" t="str">
        <f t="shared" si="17"/>
        <v>Valid</v>
      </c>
      <c r="P380" t="s">
        <v>14</v>
      </c>
      <c r="Q380" s="1" t="str">
        <v>Car</v>
      </c>
      <c r="R380">
        <v>2</v>
      </c>
      <c r="S380" s="2" t="s">
        <v>35</v>
      </c>
    </row>
    <row r="381" spans="1:19" x14ac:dyDescent="0.35">
      <c r="A381">
        <v>52</v>
      </c>
      <c r="B381" s="2" t="s">
        <v>37</v>
      </c>
      <c r="C381" t="s">
        <v>20</v>
      </c>
      <c r="D381" s="1" t="str">
        <v>Female</v>
      </c>
      <c r="E381">
        <v>1</v>
      </c>
      <c r="F381" t="s">
        <v>21</v>
      </c>
      <c r="G381" t="s">
        <v>27</v>
      </c>
      <c r="H381" t="s">
        <v>10</v>
      </c>
      <c r="I381">
        <v>362</v>
      </c>
      <c r="J381" s="2" t="s">
        <v>41</v>
      </c>
      <c r="K381" s="1" t="str">
        <f t="shared" si="15"/>
        <v>Has Spaces</v>
      </c>
      <c r="L381" s="1" t="b">
        <v>1</v>
      </c>
      <c r="M381" s="1" t="str">
        <f t="shared" si="16"/>
        <v>Valid</v>
      </c>
      <c r="N381">
        <v>6</v>
      </c>
      <c r="O381" s="1" t="str">
        <f t="shared" si="17"/>
        <v>Valid</v>
      </c>
      <c r="P381" t="s">
        <v>14</v>
      </c>
      <c r="Q381" s="1" t="str">
        <v>Car</v>
      </c>
      <c r="R381">
        <v>1</v>
      </c>
      <c r="S381" s="2" t="s">
        <v>34</v>
      </c>
    </row>
    <row r="382" spans="1:19" x14ac:dyDescent="0.35">
      <c r="A382">
        <v>39</v>
      </c>
      <c r="B382" s="2" t="s">
        <v>39</v>
      </c>
      <c r="C382" t="s">
        <v>19</v>
      </c>
      <c r="D382" s="1" t="str">
        <v>Male</v>
      </c>
      <c r="E382">
        <v>2</v>
      </c>
      <c r="F382" t="s">
        <v>21</v>
      </c>
      <c r="G382" t="s">
        <v>10</v>
      </c>
      <c r="H382" t="s">
        <v>24</v>
      </c>
      <c r="I382">
        <v>2212</v>
      </c>
      <c r="J382" s="2" t="s">
        <v>43</v>
      </c>
      <c r="K382" s="1" t="str">
        <f t="shared" si="15"/>
        <v>Clean</v>
      </c>
      <c r="L382" s="1" t="b">
        <v>1</v>
      </c>
      <c r="M382" s="1" t="str">
        <f t="shared" si="16"/>
        <v>Valid</v>
      </c>
      <c r="N382">
        <v>20</v>
      </c>
      <c r="O382" s="1" t="str">
        <f t="shared" si="17"/>
        <v>Valid</v>
      </c>
      <c r="P382" t="s">
        <v>13</v>
      </c>
      <c r="Q382" s="1" t="str">
        <v>Furniture/Equipment</v>
      </c>
      <c r="R382">
        <v>1</v>
      </c>
      <c r="S382" s="2" t="s">
        <v>34</v>
      </c>
    </row>
    <row r="383" spans="1:19" x14ac:dyDescent="0.35">
      <c r="A383">
        <v>38</v>
      </c>
      <c r="B383" s="2" t="s">
        <v>39</v>
      </c>
      <c r="C383" t="s">
        <v>20</v>
      </c>
      <c r="D383" s="1" t="str">
        <v>Female</v>
      </c>
      <c r="E383">
        <v>3</v>
      </c>
      <c r="F383" t="s">
        <v>22</v>
      </c>
      <c r="G383" t="s">
        <v>24</v>
      </c>
      <c r="H383" t="s">
        <v>27</v>
      </c>
      <c r="I383">
        <v>12976</v>
      </c>
      <c r="J383" s="2" t="s">
        <v>42</v>
      </c>
      <c r="K383" s="1" t="str">
        <f t="shared" si="15"/>
        <v>Clean</v>
      </c>
      <c r="L383" s="1" t="b">
        <v>1</v>
      </c>
      <c r="M383" s="1" t="str">
        <f t="shared" si="16"/>
        <v>Valid</v>
      </c>
      <c r="N383">
        <v>18</v>
      </c>
      <c r="O383" s="1" t="str">
        <f t="shared" si="17"/>
        <v>Valid</v>
      </c>
      <c r="P383" t="s">
        <v>14</v>
      </c>
      <c r="Q383" s="1" t="str">
        <v>Car</v>
      </c>
      <c r="R383">
        <v>2</v>
      </c>
      <c r="S383" s="2" t="s">
        <v>35</v>
      </c>
    </row>
    <row r="384" spans="1:19" x14ac:dyDescent="0.35">
      <c r="A384">
        <v>25</v>
      </c>
      <c r="B384" s="2" t="s">
        <v>38</v>
      </c>
      <c r="C384" t="s">
        <v>20</v>
      </c>
      <c r="D384" s="1" t="str">
        <v>Female</v>
      </c>
      <c r="E384">
        <v>2</v>
      </c>
      <c r="F384" t="s">
        <v>23</v>
      </c>
      <c r="G384" t="s">
        <v>10</v>
      </c>
      <c r="H384" t="s">
        <v>10</v>
      </c>
      <c r="I384">
        <v>1283</v>
      </c>
      <c r="J384" s="2" t="s">
        <v>41</v>
      </c>
      <c r="K384" s="1" t="str">
        <f t="shared" si="15"/>
        <v>Has Spaces</v>
      </c>
      <c r="L384" s="1" t="b">
        <v>1</v>
      </c>
      <c r="M384" s="1" t="str">
        <f t="shared" si="16"/>
        <v>Valid</v>
      </c>
      <c r="N384">
        <v>22</v>
      </c>
      <c r="O384" s="1" t="str">
        <f t="shared" si="17"/>
        <v>Valid</v>
      </c>
      <c r="P384" t="s">
        <v>14</v>
      </c>
      <c r="Q384" s="1" t="str">
        <v>Car</v>
      </c>
      <c r="R384">
        <v>1</v>
      </c>
      <c r="S384" s="2" t="s">
        <v>34</v>
      </c>
    </row>
    <row r="385" spans="1:19" x14ac:dyDescent="0.35">
      <c r="A385">
        <v>26</v>
      </c>
      <c r="B385" s="2" t="s">
        <v>38</v>
      </c>
      <c r="C385" t="s">
        <v>19</v>
      </c>
      <c r="D385" s="1" t="str">
        <v>Male</v>
      </c>
      <c r="E385">
        <v>2</v>
      </c>
      <c r="F385" t="s">
        <v>21</v>
      </c>
      <c r="G385" t="s">
        <v>24</v>
      </c>
      <c r="H385" t="s">
        <v>26</v>
      </c>
      <c r="I385">
        <v>1330</v>
      </c>
      <c r="J385" s="2" t="s">
        <v>41</v>
      </c>
      <c r="K385" s="1" t="str">
        <f t="shared" si="15"/>
        <v>Has Spaces</v>
      </c>
      <c r="L385" s="1" t="b">
        <v>1</v>
      </c>
      <c r="M385" s="1" t="str">
        <f t="shared" si="16"/>
        <v>Valid</v>
      </c>
      <c r="N385">
        <v>12</v>
      </c>
      <c r="O385" s="1" t="str">
        <f t="shared" si="17"/>
        <v>Valid</v>
      </c>
      <c r="P385" t="s">
        <v>14</v>
      </c>
      <c r="Q385" s="1" t="str">
        <v>Car</v>
      </c>
      <c r="R385">
        <v>1</v>
      </c>
      <c r="S385" s="2" t="s">
        <v>34</v>
      </c>
    </row>
    <row r="386" spans="1:19" x14ac:dyDescent="0.35">
      <c r="A386">
        <v>26</v>
      </c>
      <c r="B386" s="2" t="s">
        <v>38</v>
      </c>
      <c r="C386" t="s">
        <v>19</v>
      </c>
      <c r="D386" s="1" t="str">
        <v>Male</v>
      </c>
      <c r="E386">
        <v>1</v>
      </c>
      <c r="F386" t="s">
        <v>21</v>
      </c>
      <c r="G386" t="s">
        <v>27</v>
      </c>
      <c r="H386" t="s">
        <v>10</v>
      </c>
      <c r="I386">
        <v>4272</v>
      </c>
      <c r="J386" s="2" t="s">
        <v>43</v>
      </c>
      <c r="K386" s="1" t="str">
        <f t="shared" si="15"/>
        <v>Clean</v>
      </c>
      <c r="L386" s="1" t="b">
        <v>1</v>
      </c>
      <c r="M386" s="1" t="str">
        <f t="shared" si="16"/>
        <v>Valid</v>
      </c>
      <c r="N386">
        <v>30</v>
      </c>
      <c r="O386" s="1" t="str">
        <f t="shared" si="17"/>
        <v>Valid</v>
      </c>
      <c r="P386" t="s">
        <v>15</v>
      </c>
      <c r="Q386" s="1" t="str">
        <v>Business</v>
      </c>
      <c r="R386">
        <v>1</v>
      </c>
      <c r="S386" s="2" t="s">
        <v>34</v>
      </c>
    </row>
    <row r="387" spans="1:19" x14ac:dyDescent="0.35">
      <c r="A387">
        <v>25</v>
      </c>
      <c r="B387" s="2" t="s">
        <v>38</v>
      </c>
      <c r="C387" t="s">
        <v>20</v>
      </c>
      <c r="D387" s="1" t="str">
        <v>Female</v>
      </c>
      <c r="E387">
        <v>2</v>
      </c>
      <c r="F387" t="s">
        <v>21</v>
      </c>
      <c r="G387" t="s">
        <v>24</v>
      </c>
      <c r="H387" t="s">
        <v>10</v>
      </c>
      <c r="I387">
        <v>2238</v>
      </c>
      <c r="J387" s="2" t="s">
        <v>43</v>
      </c>
      <c r="K387" s="1" t="str">
        <f t="shared" ref="K387:K450" si="18">IF(J387=TRIM(J387),"Clean","Has Spaces")</f>
        <v>Clean</v>
      </c>
      <c r="L387" s="1" t="b">
        <v>1</v>
      </c>
      <c r="M387" s="1" t="str">
        <f t="shared" ref="M387:M450" si="19">IF(I387&gt;0,"Valid", "Invalid")</f>
        <v>Valid</v>
      </c>
      <c r="N387">
        <v>18</v>
      </c>
      <c r="O387" s="1" t="str">
        <f t="shared" ref="O387:O450" si="20">IF(N387&lt;=0,"invalid", "Valid")</f>
        <v>Valid</v>
      </c>
      <c r="P387" t="s">
        <v>11</v>
      </c>
      <c r="Q387" s="1" t="str">
        <v>Radio/Tv</v>
      </c>
      <c r="R387">
        <v>1</v>
      </c>
      <c r="S387" s="2" t="s">
        <v>34</v>
      </c>
    </row>
    <row r="388" spans="1:19" x14ac:dyDescent="0.35">
      <c r="A388">
        <v>21</v>
      </c>
      <c r="B388" s="2" t="s">
        <v>38</v>
      </c>
      <c r="C388" t="s">
        <v>20</v>
      </c>
      <c r="D388" s="1" t="str">
        <v>Female</v>
      </c>
      <c r="E388">
        <v>2</v>
      </c>
      <c r="F388" t="s">
        <v>23</v>
      </c>
      <c r="G388" t="s">
        <v>10</v>
      </c>
      <c r="H388" t="s">
        <v>10</v>
      </c>
      <c r="I388">
        <v>1126</v>
      </c>
      <c r="J388" s="2" t="s">
        <v>41</v>
      </c>
      <c r="K388" s="1" t="str">
        <f t="shared" si="18"/>
        <v>Has Spaces</v>
      </c>
      <c r="L388" s="1" t="b">
        <v>1</v>
      </c>
      <c r="M388" s="1" t="str">
        <f t="shared" si="19"/>
        <v>Valid</v>
      </c>
      <c r="N388">
        <v>18</v>
      </c>
      <c r="O388" s="1" t="str">
        <f t="shared" si="20"/>
        <v>Valid</v>
      </c>
      <c r="P388" t="s">
        <v>11</v>
      </c>
      <c r="Q388" s="1" t="str">
        <v>Radio/Tv</v>
      </c>
      <c r="R388">
        <v>1</v>
      </c>
      <c r="S388" s="2" t="s">
        <v>34</v>
      </c>
    </row>
    <row r="389" spans="1:19" x14ac:dyDescent="0.35">
      <c r="A389">
        <v>40</v>
      </c>
      <c r="B389" s="2" t="s">
        <v>39</v>
      </c>
      <c r="C389" t="s">
        <v>19</v>
      </c>
      <c r="D389" s="1" t="str">
        <v>Male</v>
      </c>
      <c r="E389">
        <v>3</v>
      </c>
      <c r="F389" t="s">
        <v>21</v>
      </c>
      <c r="G389" t="s">
        <v>24</v>
      </c>
      <c r="H389" t="s">
        <v>27</v>
      </c>
      <c r="I389">
        <v>7374</v>
      </c>
      <c r="J389" s="2" t="s">
        <v>42</v>
      </c>
      <c r="K389" s="1" t="str">
        <f t="shared" si="18"/>
        <v>Clean</v>
      </c>
      <c r="L389" s="1" t="b">
        <v>1</v>
      </c>
      <c r="M389" s="1" t="str">
        <f t="shared" si="19"/>
        <v>Valid</v>
      </c>
      <c r="N389">
        <v>18</v>
      </c>
      <c r="O389" s="1" t="str">
        <f t="shared" si="20"/>
        <v>Valid</v>
      </c>
      <c r="P389" t="s">
        <v>13</v>
      </c>
      <c r="Q389" s="1" t="str">
        <v>Furniture/Equipment</v>
      </c>
      <c r="R389">
        <v>1</v>
      </c>
      <c r="S389" s="2" t="s">
        <v>34</v>
      </c>
    </row>
    <row r="390" spans="1:19" x14ac:dyDescent="0.35">
      <c r="A390">
        <v>27</v>
      </c>
      <c r="B390" s="2" t="s">
        <v>38</v>
      </c>
      <c r="C390" t="s">
        <v>19</v>
      </c>
      <c r="D390" s="1" t="str">
        <v>Male</v>
      </c>
      <c r="E390">
        <v>2</v>
      </c>
      <c r="F390" t="s">
        <v>21</v>
      </c>
      <c r="G390" t="s">
        <v>25</v>
      </c>
      <c r="H390" t="s">
        <v>27</v>
      </c>
      <c r="I390">
        <v>2326</v>
      </c>
      <c r="J390" s="2" t="s">
        <v>43</v>
      </c>
      <c r="K390" s="1" t="str">
        <f t="shared" si="18"/>
        <v>Clean</v>
      </c>
      <c r="L390" s="1" t="b">
        <v>1</v>
      </c>
      <c r="M390" s="1" t="str">
        <f t="shared" si="19"/>
        <v>Valid</v>
      </c>
      <c r="N390">
        <v>15</v>
      </c>
      <c r="O390" s="1" t="str">
        <f t="shared" si="20"/>
        <v>Valid</v>
      </c>
      <c r="P390" t="s">
        <v>15</v>
      </c>
      <c r="Q390" s="1" t="str">
        <v>Business</v>
      </c>
      <c r="R390">
        <v>1</v>
      </c>
      <c r="S390" s="2" t="s">
        <v>34</v>
      </c>
    </row>
    <row r="391" spans="1:19" x14ac:dyDescent="0.35">
      <c r="A391">
        <v>27</v>
      </c>
      <c r="B391" s="2" t="s">
        <v>38</v>
      </c>
      <c r="C391" t="s">
        <v>20</v>
      </c>
      <c r="D391" s="1" t="str">
        <v>Female</v>
      </c>
      <c r="E391">
        <v>2</v>
      </c>
      <c r="F391" t="s">
        <v>21</v>
      </c>
      <c r="G391" t="s">
        <v>24</v>
      </c>
      <c r="H391" t="s">
        <v>10</v>
      </c>
      <c r="I391">
        <v>1449</v>
      </c>
      <c r="J391" s="2" t="s">
        <v>41</v>
      </c>
      <c r="K391" s="1" t="str">
        <f t="shared" si="18"/>
        <v>Has Spaces</v>
      </c>
      <c r="L391" s="1" t="b">
        <v>1</v>
      </c>
      <c r="M391" s="1" t="str">
        <f t="shared" si="19"/>
        <v>Valid</v>
      </c>
      <c r="N391">
        <v>9</v>
      </c>
      <c r="O391" s="1" t="str">
        <f t="shared" si="20"/>
        <v>Valid</v>
      </c>
      <c r="P391" t="s">
        <v>15</v>
      </c>
      <c r="Q391" s="1" t="str">
        <v>Business</v>
      </c>
      <c r="R391">
        <v>1</v>
      </c>
      <c r="S391" s="2" t="s">
        <v>34</v>
      </c>
    </row>
    <row r="392" spans="1:19" x14ac:dyDescent="0.35">
      <c r="A392">
        <v>30</v>
      </c>
      <c r="B392" s="2" t="s">
        <v>39</v>
      </c>
      <c r="C392" t="s">
        <v>19</v>
      </c>
      <c r="D392" s="1" t="str">
        <v>Male</v>
      </c>
      <c r="E392">
        <v>3</v>
      </c>
      <c r="F392" t="s">
        <v>21</v>
      </c>
      <c r="G392" t="s">
        <v>24</v>
      </c>
      <c r="H392" t="s">
        <v>10</v>
      </c>
      <c r="I392">
        <v>1820</v>
      </c>
      <c r="J392" s="2" t="s">
        <v>41</v>
      </c>
      <c r="K392" s="1" t="str">
        <f t="shared" si="18"/>
        <v>Has Spaces</v>
      </c>
      <c r="L392" s="1" t="b">
        <v>1</v>
      </c>
      <c r="M392" s="1" t="str">
        <f t="shared" si="19"/>
        <v>Valid</v>
      </c>
      <c r="N392">
        <v>18</v>
      </c>
      <c r="O392" s="1" t="str">
        <f t="shared" si="20"/>
        <v>Valid</v>
      </c>
      <c r="P392" t="s">
        <v>14</v>
      </c>
      <c r="Q392" s="1" t="str">
        <v>Car</v>
      </c>
      <c r="R392">
        <v>1</v>
      </c>
      <c r="S392" s="2" t="s">
        <v>34</v>
      </c>
    </row>
    <row r="393" spans="1:19" x14ac:dyDescent="0.35">
      <c r="A393">
        <v>19</v>
      </c>
      <c r="B393" s="2" t="s">
        <v>38</v>
      </c>
      <c r="C393" t="s">
        <v>20</v>
      </c>
      <c r="D393" s="1" t="str">
        <v>Female</v>
      </c>
      <c r="E393">
        <v>1</v>
      </c>
      <c r="F393" t="s">
        <v>23</v>
      </c>
      <c r="G393" t="s">
        <v>26</v>
      </c>
      <c r="H393" t="s">
        <v>27</v>
      </c>
      <c r="I393">
        <v>983</v>
      </c>
      <c r="J393" s="2" t="s">
        <v>41</v>
      </c>
      <c r="K393" s="1" t="str">
        <f t="shared" si="18"/>
        <v>Has Spaces</v>
      </c>
      <c r="L393" s="1" t="b">
        <v>1</v>
      </c>
      <c r="M393" s="1" t="str">
        <f t="shared" si="19"/>
        <v>Valid</v>
      </c>
      <c r="N393">
        <v>12</v>
      </c>
      <c r="O393" s="1" t="str">
        <f t="shared" si="20"/>
        <v>Valid</v>
      </c>
      <c r="P393" t="s">
        <v>13</v>
      </c>
      <c r="Q393" s="1" t="str">
        <v>Furniture/Equipment</v>
      </c>
      <c r="R393">
        <v>1</v>
      </c>
      <c r="S393" s="2" t="s">
        <v>34</v>
      </c>
    </row>
    <row r="394" spans="1:19" x14ac:dyDescent="0.35">
      <c r="A394">
        <v>39</v>
      </c>
      <c r="B394" s="2" t="s">
        <v>39</v>
      </c>
      <c r="C394" t="s">
        <v>19</v>
      </c>
      <c r="D394" s="1" t="str">
        <v>Male</v>
      </c>
      <c r="E394">
        <v>3</v>
      </c>
      <c r="F394" t="s">
        <v>22</v>
      </c>
      <c r="G394" t="s">
        <v>24</v>
      </c>
      <c r="H394" t="s">
        <v>24</v>
      </c>
      <c r="I394">
        <v>3249</v>
      </c>
      <c r="J394" s="2" t="s">
        <v>43</v>
      </c>
      <c r="K394" s="1" t="str">
        <f t="shared" si="18"/>
        <v>Clean</v>
      </c>
      <c r="L394" s="1" t="b">
        <v>1</v>
      </c>
      <c r="M394" s="1" t="str">
        <f t="shared" si="19"/>
        <v>Valid</v>
      </c>
      <c r="N394">
        <v>36</v>
      </c>
      <c r="O394" s="1" t="str">
        <f t="shared" si="20"/>
        <v>Valid</v>
      </c>
      <c r="P394" t="s">
        <v>14</v>
      </c>
      <c r="Q394" s="1" t="str">
        <v>Car</v>
      </c>
      <c r="R394">
        <v>1</v>
      </c>
      <c r="S394" s="2" t="s">
        <v>34</v>
      </c>
    </row>
    <row r="395" spans="1:19" x14ac:dyDescent="0.35">
      <c r="A395">
        <v>31</v>
      </c>
      <c r="B395" s="2" t="s">
        <v>39</v>
      </c>
      <c r="C395" t="s">
        <v>20</v>
      </c>
      <c r="D395" s="1" t="str">
        <v>Female</v>
      </c>
      <c r="E395">
        <v>2</v>
      </c>
      <c r="F395" t="s">
        <v>21</v>
      </c>
      <c r="G395" t="s">
        <v>24</v>
      </c>
      <c r="H395" t="s">
        <v>24</v>
      </c>
      <c r="I395">
        <v>1957</v>
      </c>
      <c r="J395" s="2" t="s">
        <v>41</v>
      </c>
      <c r="K395" s="1" t="str">
        <f t="shared" si="18"/>
        <v>Has Spaces</v>
      </c>
      <c r="L395" s="1" t="b">
        <v>1</v>
      </c>
      <c r="M395" s="1" t="str">
        <f t="shared" si="19"/>
        <v>Valid</v>
      </c>
      <c r="N395">
        <v>6</v>
      </c>
      <c r="O395" s="1" t="str">
        <f t="shared" si="20"/>
        <v>Valid</v>
      </c>
      <c r="P395" t="s">
        <v>11</v>
      </c>
      <c r="Q395" s="1" t="str">
        <v>Radio/Tv</v>
      </c>
      <c r="R395">
        <v>1</v>
      </c>
      <c r="S395" s="2" t="s">
        <v>34</v>
      </c>
    </row>
    <row r="396" spans="1:19" x14ac:dyDescent="0.35">
      <c r="A396">
        <v>31</v>
      </c>
      <c r="B396" s="2" t="s">
        <v>39</v>
      </c>
      <c r="C396" t="s">
        <v>19</v>
      </c>
      <c r="D396" s="1" t="str">
        <v>Male</v>
      </c>
      <c r="E396">
        <v>3</v>
      </c>
      <c r="F396" t="s">
        <v>21</v>
      </c>
      <c r="G396" t="s">
        <v>24</v>
      </c>
      <c r="H396" t="s">
        <v>10</v>
      </c>
      <c r="I396">
        <v>2406</v>
      </c>
      <c r="J396" s="2" t="s">
        <v>43</v>
      </c>
      <c r="K396" s="1" t="str">
        <f t="shared" si="18"/>
        <v>Clean</v>
      </c>
      <c r="L396" s="1" t="b">
        <v>1</v>
      </c>
      <c r="M396" s="1" t="str">
        <f t="shared" si="19"/>
        <v>Valid</v>
      </c>
      <c r="N396">
        <v>9</v>
      </c>
      <c r="O396" s="1" t="str">
        <f t="shared" si="20"/>
        <v>Valid</v>
      </c>
      <c r="P396" t="s">
        <v>13</v>
      </c>
      <c r="Q396" s="1" t="str">
        <v>Furniture/Equipment</v>
      </c>
      <c r="R396">
        <v>1</v>
      </c>
      <c r="S396" s="2" t="s">
        <v>34</v>
      </c>
    </row>
    <row r="397" spans="1:19" x14ac:dyDescent="0.35">
      <c r="A397">
        <v>32</v>
      </c>
      <c r="B397" s="2" t="s">
        <v>39</v>
      </c>
      <c r="C397" t="s">
        <v>19</v>
      </c>
      <c r="D397" s="1" t="str">
        <v>Male</v>
      </c>
      <c r="E397">
        <v>2</v>
      </c>
      <c r="F397" t="s">
        <v>23</v>
      </c>
      <c r="G397" t="s">
        <v>27</v>
      </c>
      <c r="H397" t="s">
        <v>27</v>
      </c>
      <c r="I397">
        <v>11760</v>
      </c>
      <c r="J397" s="2" t="s">
        <v>42</v>
      </c>
      <c r="K397" s="1" t="str">
        <f t="shared" si="18"/>
        <v>Clean</v>
      </c>
      <c r="L397" s="1" t="b">
        <v>1</v>
      </c>
      <c r="M397" s="1" t="str">
        <f t="shared" si="19"/>
        <v>Valid</v>
      </c>
      <c r="N397">
        <v>39</v>
      </c>
      <c r="O397" s="1" t="str">
        <f t="shared" si="20"/>
        <v>Valid</v>
      </c>
      <c r="P397" t="s">
        <v>12</v>
      </c>
      <c r="Q397" s="1" t="str">
        <v>Education</v>
      </c>
      <c r="R397">
        <v>1</v>
      </c>
      <c r="S397" s="2" t="s">
        <v>34</v>
      </c>
    </row>
    <row r="398" spans="1:19" x14ac:dyDescent="0.35">
      <c r="A398">
        <v>55</v>
      </c>
      <c r="B398" s="2" t="s">
        <v>37</v>
      </c>
      <c r="C398" t="s">
        <v>20</v>
      </c>
      <c r="D398" s="1" t="str">
        <v>Female</v>
      </c>
      <c r="E398">
        <v>3</v>
      </c>
      <c r="F398" t="s">
        <v>22</v>
      </c>
      <c r="G398" t="s">
        <v>24</v>
      </c>
      <c r="H398" t="s">
        <v>24</v>
      </c>
      <c r="I398">
        <v>2578</v>
      </c>
      <c r="J398" s="2" t="s">
        <v>43</v>
      </c>
      <c r="K398" s="1" t="str">
        <f t="shared" si="18"/>
        <v>Clean</v>
      </c>
      <c r="L398" s="1" t="b">
        <v>1</v>
      </c>
      <c r="M398" s="1" t="str">
        <f t="shared" si="19"/>
        <v>Valid</v>
      </c>
      <c r="N398">
        <v>12</v>
      </c>
      <c r="O398" s="1" t="str">
        <f t="shared" si="20"/>
        <v>Valid</v>
      </c>
      <c r="P398" t="s">
        <v>13</v>
      </c>
      <c r="Q398" s="1" t="str">
        <v>Furniture/Equipment</v>
      </c>
      <c r="R398">
        <v>1</v>
      </c>
      <c r="S398" s="2" t="s">
        <v>34</v>
      </c>
    </row>
    <row r="399" spans="1:19" x14ac:dyDescent="0.35">
      <c r="A399">
        <v>46</v>
      </c>
      <c r="B399" s="2" t="s">
        <v>39</v>
      </c>
      <c r="C399" t="s">
        <v>19</v>
      </c>
      <c r="D399" s="1" t="str">
        <v>Male</v>
      </c>
      <c r="E399">
        <v>2</v>
      </c>
      <c r="F399" t="s">
        <v>21</v>
      </c>
      <c r="G399" t="s">
        <v>24</v>
      </c>
      <c r="H399" t="s">
        <v>24</v>
      </c>
      <c r="I399">
        <v>2348</v>
      </c>
      <c r="J399" s="2" t="s">
        <v>43</v>
      </c>
      <c r="K399" s="1" t="str">
        <f t="shared" si="18"/>
        <v>Clean</v>
      </c>
      <c r="L399" s="1" t="b">
        <v>1</v>
      </c>
      <c r="M399" s="1" t="str">
        <f t="shared" si="19"/>
        <v>Valid</v>
      </c>
      <c r="N399">
        <v>36</v>
      </c>
      <c r="O399" s="1" t="str">
        <f t="shared" si="20"/>
        <v>Valid</v>
      </c>
      <c r="P399" t="s">
        <v>13</v>
      </c>
      <c r="Q399" s="1" t="str">
        <v>Furniture/Equipment</v>
      </c>
      <c r="R399">
        <v>1</v>
      </c>
      <c r="S399" s="2" t="s">
        <v>34</v>
      </c>
    </row>
    <row r="400" spans="1:19" x14ac:dyDescent="0.35">
      <c r="A400">
        <v>46</v>
      </c>
      <c r="B400" s="2" t="s">
        <v>39</v>
      </c>
      <c r="C400" t="s">
        <v>19</v>
      </c>
      <c r="D400" s="1" t="str">
        <v>Male</v>
      </c>
      <c r="E400">
        <v>2</v>
      </c>
      <c r="F400" t="s">
        <v>23</v>
      </c>
      <c r="G400" t="s">
        <v>24</v>
      </c>
      <c r="H400" t="s">
        <v>27</v>
      </c>
      <c r="I400">
        <v>1223</v>
      </c>
      <c r="J400" s="2" t="s">
        <v>41</v>
      </c>
      <c r="K400" s="1" t="str">
        <f t="shared" si="18"/>
        <v>Has Spaces</v>
      </c>
      <c r="L400" s="1" t="b">
        <v>1</v>
      </c>
      <c r="M400" s="1" t="str">
        <f t="shared" si="19"/>
        <v>Valid</v>
      </c>
      <c r="N400">
        <v>12</v>
      </c>
      <c r="O400" s="1" t="str">
        <f t="shared" si="20"/>
        <v>Valid</v>
      </c>
      <c r="P400" t="s">
        <v>14</v>
      </c>
      <c r="Q400" s="1" t="str">
        <v>Car</v>
      </c>
      <c r="R400">
        <v>2</v>
      </c>
      <c r="S400" s="2" t="s">
        <v>35</v>
      </c>
    </row>
    <row r="401" spans="1:19" x14ac:dyDescent="0.35">
      <c r="A401">
        <v>43</v>
      </c>
      <c r="B401" s="2" t="s">
        <v>39</v>
      </c>
      <c r="C401" t="s">
        <v>20</v>
      </c>
      <c r="D401" s="1" t="str">
        <v>Female</v>
      </c>
      <c r="E401">
        <v>1</v>
      </c>
      <c r="F401" t="s">
        <v>21</v>
      </c>
      <c r="G401" t="s">
        <v>26</v>
      </c>
      <c r="H401" t="s">
        <v>10</v>
      </c>
      <c r="I401">
        <v>1516</v>
      </c>
      <c r="J401" s="2" t="s">
        <v>41</v>
      </c>
      <c r="K401" s="1" t="str">
        <f t="shared" si="18"/>
        <v>Has Spaces</v>
      </c>
      <c r="L401" s="1" t="b">
        <v>1</v>
      </c>
      <c r="M401" s="1" t="str">
        <f t="shared" si="19"/>
        <v>Valid</v>
      </c>
      <c r="N401">
        <v>24</v>
      </c>
      <c r="O401" s="1" t="str">
        <f t="shared" si="20"/>
        <v>Valid</v>
      </c>
      <c r="P401" t="s">
        <v>11</v>
      </c>
      <c r="Q401" s="1" t="str">
        <v>Radio/Tv</v>
      </c>
      <c r="R401">
        <v>1</v>
      </c>
      <c r="S401" s="2" t="s">
        <v>34</v>
      </c>
    </row>
    <row r="402" spans="1:19" x14ac:dyDescent="0.35">
      <c r="A402">
        <v>39</v>
      </c>
      <c r="B402" s="2" t="s">
        <v>39</v>
      </c>
      <c r="C402" t="s">
        <v>19</v>
      </c>
      <c r="D402" s="1" t="str">
        <v>Male</v>
      </c>
      <c r="E402">
        <v>2</v>
      </c>
      <c r="F402" t="s">
        <v>21</v>
      </c>
      <c r="G402" t="s">
        <v>24</v>
      </c>
      <c r="H402" t="s">
        <v>10</v>
      </c>
      <c r="I402">
        <v>1473</v>
      </c>
      <c r="J402" s="2" t="s">
        <v>41</v>
      </c>
      <c r="K402" s="1" t="str">
        <f t="shared" si="18"/>
        <v>Has Spaces</v>
      </c>
      <c r="L402" s="1" t="b">
        <v>1</v>
      </c>
      <c r="M402" s="1" t="str">
        <f t="shared" si="19"/>
        <v>Valid</v>
      </c>
      <c r="N402">
        <v>18</v>
      </c>
      <c r="O402" s="1" t="str">
        <f t="shared" si="20"/>
        <v>Valid</v>
      </c>
      <c r="P402" t="s">
        <v>11</v>
      </c>
      <c r="Q402" s="1" t="str">
        <v>Radio/Tv</v>
      </c>
      <c r="R402">
        <v>1</v>
      </c>
      <c r="S402" s="2" t="s">
        <v>34</v>
      </c>
    </row>
    <row r="403" spans="1:19" x14ac:dyDescent="0.35">
      <c r="A403">
        <v>28</v>
      </c>
      <c r="B403" s="2" t="s">
        <v>38</v>
      </c>
      <c r="C403" t="s">
        <v>19</v>
      </c>
      <c r="D403" s="1" t="str">
        <v>Male</v>
      </c>
      <c r="E403">
        <v>2</v>
      </c>
      <c r="F403" t="s">
        <v>21</v>
      </c>
      <c r="G403" t="s">
        <v>10</v>
      </c>
      <c r="H403" t="s">
        <v>27</v>
      </c>
      <c r="I403">
        <v>1887</v>
      </c>
      <c r="J403" s="2" t="s">
        <v>41</v>
      </c>
      <c r="K403" s="1" t="str">
        <f t="shared" si="18"/>
        <v>Has Spaces</v>
      </c>
      <c r="L403" s="1" t="b">
        <v>1</v>
      </c>
      <c r="M403" s="1" t="str">
        <f t="shared" si="19"/>
        <v>Valid</v>
      </c>
      <c r="N403">
        <v>18</v>
      </c>
      <c r="O403" s="1" t="str">
        <f t="shared" si="20"/>
        <v>Valid</v>
      </c>
      <c r="P403" t="s">
        <v>15</v>
      </c>
      <c r="Q403" s="1" t="str">
        <v>Business</v>
      </c>
      <c r="R403">
        <v>1</v>
      </c>
      <c r="S403" s="2" t="s">
        <v>34</v>
      </c>
    </row>
    <row r="404" spans="1:19" x14ac:dyDescent="0.35">
      <c r="A404">
        <v>27</v>
      </c>
      <c r="B404" s="2" t="s">
        <v>38</v>
      </c>
      <c r="C404" t="s">
        <v>19</v>
      </c>
      <c r="D404" s="1" t="str">
        <v>Male</v>
      </c>
      <c r="E404">
        <v>2</v>
      </c>
      <c r="F404" t="s">
        <v>21</v>
      </c>
      <c r="G404" t="s">
        <v>24</v>
      </c>
      <c r="H404" t="s">
        <v>10</v>
      </c>
      <c r="I404">
        <v>8648</v>
      </c>
      <c r="J404" s="2" t="s">
        <v>42</v>
      </c>
      <c r="K404" s="1" t="str">
        <f t="shared" si="18"/>
        <v>Clean</v>
      </c>
      <c r="L404" s="1" t="b">
        <v>1</v>
      </c>
      <c r="M404" s="1" t="str">
        <f t="shared" si="19"/>
        <v>Valid</v>
      </c>
      <c r="N404">
        <v>24</v>
      </c>
      <c r="O404" s="1" t="str">
        <f t="shared" si="20"/>
        <v>Valid</v>
      </c>
      <c r="P404" t="s">
        <v>15</v>
      </c>
      <c r="Q404" s="1" t="str">
        <v>Business</v>
      </c>
      <c r="R404">
        <v>2</v>
      </c>
      <c r="S404" s="2" t="s">
        <v>35</v>
      </c>
    </row>
    <row r="405" spans="1:19" x14ac:dyDescent="0.35">
      <c r="A405">
        <v>27</v>
      </c>
      <c r="B405" s="2" t="s">
        <v>38</v>
      </c>
      <c r="C405" t="s">
        <v>19</v>
      </c>
      <c r="D405" s="1" t="str">
        <v>Male</v>
      </c>
      <c r="E405">
        <v>1</v>
      </c>
      <c r="F405" t="s">
        <v>21</v>
      </c>
      <c r="G405" t="s">
        <v>24</v>
      </c>
      <c r="H405" t="s">
        <v>10</v>
      </c>
      <c r="I405">
        <v>802</v>
      </c>
      <c r="J405" s="2" t="s">
        <v>41</v>
      </c>
      <c r="K405" s="1" t="str">
        <f t="shared" si="18"/>
        <v>Has Spaces</v>
      </c>
      <c r="L405" s="1" t="b">
        <v>1</v>
      </c>
      <c r="M405" s="1" t="str">
        <f t="shared" si="19"/>
        <v>Valid</v>
      </c>
      <c r="N405">
        <v>14</v>
      </c>
      <c r="O405" s="1" t="str">
        <f t="shared" si="20"/>
        <v>Valid</v>
      </c>
      <c r="P405" t="s">
        <v>14</v>
      </c>
      <c r="Q405" s="1" t="str">
        <v>Car</v>
      </c>
      <c r="R405">
        <v>1</v>
      </c>
      <c r="S405" s="2" t="s">
        <v>34</v>
      </c>
    </row>
    <row r="406" spans="1:19" x14ac:dyDescent="0.35">
      <c r="A406">
        <v>43</v>
      </c>
      <c r="B406" s="2" t="s">
        <v>39</v>
      </c>
      <c r="C406" t="s">
        <v>19</v>
      </c>
      <c r="D406" s="1" t="str">
        <v>Male</v>
      </c>
      <c r="E406">
        <v>2</v>
      </c>
      <c r="F406" t="s">
        <v>21</v>
      </c>
      <c r="G406" t="s">
        <v>10</v>
      </c>
      <c r="H406" t="s">
        <v>27</v>
      </c>
      <c r="I406">
        <v>2899</v>
      </c>
      <c r="J406" s="2" t="s">
        <v>43</v>
      </c>
      <c r="K406" s="1" t="str">
        <f t="shared" si="18"/>
        <v>Clean</v>
      </c>
      <c r="L406" s="1" t="b">
        <v>1</v>
      </c>
      <c r="M406" s="1" t="str">
        <f t="shared" si="19"/>
        <v>Valid</v>
      </c>
      <c r="N406">
        <v>18</v>
      </c>
      <c r="O406" s="1" t="str">
        <f t="shared" si="20"/>
        <v>Valid</v>
      </c>
      <c r="P406" t="s">
        <v>14</v>
      </c>
      <c r="Q406" s="1" t="str">
        <v>Car</v>
      </c>
      <c r="R406">
        <v>1</v>
      </c>
      <c r="S406" s="2" t="s">
        <v>34</v>
      </c>
    </row>
    <row r="407" spans="1:19" x14ac:dyDescent="0.35">
      <c r="A407">
        <v>22</v>
      </c>
      <c r="B407" s="2" t="s">
        <v>38</v>
      </c>
      <c r="C407" t="s">
        <v>19</v>
      </c>
      <c r="D407" s="1" t="str">
        <v>Male</v>
      </c>
      <c r="E407">
        <v>2</v>
      </c>
      <c r="F407" t="s">
        <v>21</v>
      </c>
      <c r="G407" t="s">
        <v>24</v>
      </c>
      <c r="H407" t="s">
        <v>27</v>
      </c>
      <c r="I407">
        <v>2039</v>
      </c>
      <c r="J407" s="2" t="s">
        <v>43</v>
      </c>
      <c r="K407" s="1" t="str">
        <f t="shared" si="18"/>
        <v>Clean</v>
      </c>
      <c r="L407" s="1" t="b">
        <v>1</v>
      </c>
      <c r="M407" s="1" t="str">
        <f t="shared" si="19"/>
        <v>Valid</v>
      </c>
      <c r="N407">
        <v>24</v>
      </c>
      <c r="O407" s="1" t="str">
        <f t="shared" si="20"/>
        <v>Valid</v>
      </c>
      <c r="P407" t="s">
        <v>11</v>
      </c>
      <c r="Q407" s="1" t="str">
        <v>Radio/Tv</v>
      </c>
      <c r="R407">
        <v>2</v>
      </c>
      <c r="S407" s="2" t="s">
        <v>35</v>
      </c>
    </row>
    <row r="408" spans="1:19" x14ac:dyDescent="0.35">
      <c r="A408">
        <v>43</v>
      </c>
      <c r="B408" s="2" t="s">
        <v>39</v>
      </c>
      <c r="C408" t="s">
        <v>19</v>
      </c>
      <c r="D408" s="1" t="str">
        <v>Male</v>
      </c>
      <c r="E408">
        <v>2</v>
      </c>
      <c r="F408" t="s">
        <v>21</v>
      </c>
      <c r="G408" t="s">
        <v>10</v>
      </c>
      <c r="H408" t="s">
        <v>10</v>
      </c>
      <c r="I408">
        <v>2197</v>
      </c>
      <c r="J408" s="2" t="s">
        <v>43</v>
      </c>
      <c r="K408" s="1" t="str">
        <f t="shared" si="18"/>
        <v>Clean</v>
      </c>
      <c r="L408" s="1" t="b">
        <v>1</v>
      </c>
      <c r="M408" s="1" t="str">
        <f t="shared" si="19"/>
        <v>Valid</v>
      </c>
      <c r="N408">
        <v>24</v>
      </c>
      <c r="O408" s="1" t="str">
        <f t="shared" si="20"/>
        <v>Valid</v>
      </c>
      <c r="P408" t="s">
        <v>14</v>
      </c>
      <c r="Q408" s="1" t="str">
        <v>Car</v>
      </c>
      <c r="R408">
        <v>1</v>
      </c>
      <c r="S408" s="2" t="s">
        <v>34</v>
      </c>
    </row>
    <row r="409" spans="1:19" x14ac:dyDescent="0.35">
      <c r="A409">
        <v>27</v>
      </c>
      <c r="B409" s="2" t="s">
        <v>38</v>
      </c>
      <c r="C409" t="s">
        <v>19</v>
      </c>
      <c r="D409" s="1" t="str">
        <v>Male</v>
      </c>
      <c r="E409">
        <v>2</v>
      </c>
      <c r="F409" t="s">
        <v>21</v>
      </c>
      <c r="G409" t="s">
        <v>24</v>
      </c>
      <c r="H409" t="s">
        <v>24</v>
      </c>
      <c r="I409">
        <v>1053</v>
      </c>
      <c r="J409" s="2" t="s">
        <v>41</v>
      </c>
      <c r="K409" s="1" t="str">
        <f t="shared" si="18"/>
        <v>Has Spaces</v>
      </c>
      <c r="L409" s="1" t="b">
        <v>1</v>
      </c>
      <c r="M409" s="1" t="str">
        <f t="shared" si="19"/>
        <v>Valid</v>
      </c>
      <c r="N409">
        <v>15</v>
      </c>
      <c r="O409" s="1" t="str">
        <f t="shared" si="20"/>
        <v>Valid</v>
      </c>
      <c r="P409" t="s">
        <v>11</v>
      </c>
      <c r="Q409" s="1" t="str">
        <v>Radio/Tv</v>
      </c>
      <c r="R409">
        <v>1</v>
      </c>
      <c r="S409" s="2" t="s">
        <v>34</v>
      </c>
    </row>
    <row r="410" spans="1:19" x14ac:dyDescent="0.35">
      <c r="A410">
        <v>26</v>
      </c>
      <c r="B410" s="2" t="s">
        <v>38</v>
      </c>
      <c r="C410" t="s">
        <v>19</v>
      </c>
      <c r="D410" s="1" t="str">
        <v>Male</v>
      </c>
      <c r="E410">
        <v>3</v>
      </c>
      <c r="F410" t="s">
        <v>21</v>
      </c>
      <c r="G410" t="s">
        <v>25</v>
      </c>
      <c r="H410" t="s">
        <v>10</v>
      </c>
      <c r="I410">
        <v>3235</v>
      </c>
      <c r="J410" s="2" t="s">
        <v>43</v>
      </c>
      <c r="K410" s="1" t="str">
        <f t="shared" si="18"/>
        <v>Clean</v>
      </c>
      <c r="L410" s="1" t="b">
        <v>1</v>
      </c>
      <c r="M410" s="1" t="str">
        <f t="shared" si="19"/>
        <v>Valid</v>
      </c>
      <c r="N410">
        <v>24</v>
      </c>
      <c r="O410" s="1" t="str">
        <f t="shared" si="20"/>
        <v>Valid</v>
      </c>
      <c r="P410" t="s">
        <v>11</v>
      </c>
      <c r="Q410" s="1" t="str">
        <v>Radio/Tv</v>
      </c>
      <c r="R410">
        <v>1</v>
      </c>
      <c r="S410" s="2" t="s">
        <v>34</v>
      </c>
    </row>
    <row r="411" spans="1:19" x14ac:dyDescent="0.35">
      <c r="A411">
        <v>28</v>
      </c>
      <c r="B411" s="2" t="s">
        <v>38</v>
      </c>
      <c r="C411" t="s">
        <v>19</v>
      </c>
      <c r="D411" s="1" t="str">
        <v>Male</v>
      </c>
      <c r="E411">
        <v>2</v>
      </c>
      <c r="F411" t="s">
        <v>21</v>
      </c>
      <c r="G411" t="s">
        <v>25</v>
      </c>
      <c r="H411" t="s">
        <v>26</v>
      </c>
      <c r="I411">
        <v>939</v>
      </c>
      <c r="J411" s="2" t="s">
        <v>41</v>
      </c>
      <c r="K411" s="1" t="str">
        <f t="shared" si="18"/>
        <v>Has Spaces</v>
      </c>
      <c r="L411" s="1" t="b">
        <v>1</v>
      </c>
      <c r="M411" s="1" t="str">
        <f t="shared" si="19"/>
        <v>Valid</v>
      </c>
      <c r="N411">
        <v>12</v>
      </c>
      <c r="O411" s="1" t="str">
        <f t="shared" si="20"/>
        <v>Valid</v>
      </c>
      <c r="P411" t="s">
        <v>14</v>
      </c>
      <c r="Q411" s="1" t="str">
        <v>Car</v>
      </c>
      <c r="R411">
        <v>2</v>
      </c>
      <c r="S411" s="2" t="s">
        <v>35</v>
      </c>
    </row>
    <row r="412" spans="1:19" x14ac:dyDescent="0.35">
      <c r="A412">
        <v>20</v>
      </c>
      <c r="B412" s="2" t="s">
        <v>38</v>
      </c>
      <c r="C412" t="s">
        <v>20</v>
      </c>
      <c r="D412" s="1" t="str">
        <v>Female</v>
      </c>
      <c r="E412">
        <v>2</v>
      </c>
      <c r="F412" t="s">
        <v>21</v>
      </c>
      <c r="G412" t="s">
        <v>24</v>
      </c>
      <c r="H412" t="s">
        <v>27</v>
      </c>
      <c r="I412">
        <v>1967</v>
      </c>
      <c r="J412" s="2" t="s">
        <v>41</v>
      </c>
      <c r="K412" s="1" t="str">
        <f t="shared" si="18"/>
        <v>Has Spaces</v>
      </c>
      <c r="L412" s="1" t="b">
        <v>1</v>
      </c>
      <c r="M412" s="1" t="str">
        <f t="shared" si="19"/>
        <v>Valid</v>
      </c>
      <c r="N412">
        <v>24</v>
      </c>
      <c r="O412" s="1" t="str">
        <f t="shared" si="20"/>
        <v>Valid</v>
      </c>
      <c r="P412" t="s">
        <v>11</v>
      </c>
      <c r="Q412" s="1" t="str">
        <v>Radio/Tv</v>
      </c>
      <c r="R412">
        <v>1</v>
      </c>
      <c r="S412" s="2" t="s">
        <v>34</v>
      </c>
    </row>
    <row r="413" spans="1:19" x14ac:dyDescent="0.35">
      <c r="A413">
        <v>35</v>
      </c>
      <c r="B413" s="2" t="s">
        <v>39</v>
      </c>
      <c r="C413" t="s">
        <v>19</v>
      </c>
      <c r="D413" s="1" t="str">
        <v>Male</v>
      </c>
      <c r="E413">
        <v>3</v>
      </c>
      <c r="F413" t="s">
        <v>21</v>
      </c>
      <c r="G413" t="s">
        <v>24</v>
      </c>
      <c r="H413" t="s">
        <v>10</v>
      </c>
      <c r="I413">
        <v>7253</v>
      </c>
      <c r="J413" s="2" t="s">
        <v>42</v>
      </c>
      <c r="K413" s="1" t="str">
        <f t="shared" si="18"/>
        <v>Clean</v>
      </c>
      <c r="L413" s="1" t="b">
        <v>1</v>
      </c>
      <c r="M413" s="1" t="str">
        <f t="shared" si="19"/>
        <v>Valid</v>
      </c>
      <c r="N413">
        <v>33</v>
      </c>
      <c r="O413" s="1" t="str">
        <f t="shared" si="20"/>
        <v>Valid</v>
      </c>
      <c r="P413" t="s">
        <v>14</v>
      </c>
      <c r="Q413" s="1" t="str">
        <v>Car</v>
      </c>
      <c r="R413">
        <v>1</v>
      </c>
      <c r="S413" s="2" t="s">
        <v>34</v>
      </c>
    </row>
    <row r="414" spans="1:19" x14ac:dyDescent="0.35">
      <c r="A414">
        <v>42</v>
      </c>
      <c r="B414" s="2" t="s">
        <v>39</v>
      </c>
      <c r="C414" t="s">
        <v>19</v>
      </c>
      <c r="D414" s="1" t="str">
        <v>Male</v>
      </c>
      <c r="E414">
        <v>3</v>
      </c>
      <c r="F414" t="s">
        <v>21</v>
      </c>
      <c r="G414" t="s">
        <v>24</v>
      </c>
      <c r="H414" t="s">
        <v>10</v>
      </c>
      <c r="I414">
        <v>2292</v>
      </c>
      <c r="J414" s="2" t="s">
        <v>43</v>
      </c>
      <c r="K414" s="1" t="str">
        <f t="shared" si="18"/>
        <v>Clean</v>
      </c>
      <c r="L414" s="1" t="b">
        <v>1</v>
      </c>
      <c r="M414" s="1" t="str">
        <f t="shared" si="19"/>
        <v>Valid</v>
      </c>
      <c r="N414">
        <v>12</v>
      </c>
      <c r="O414" s="1" t="str">
        <f t="shared" si="20"/>
        <v>Valid</v>
      </c>
      <c r="P414" t="s">
        <v>15</v>
      </c>
      <c r="Q414" s="1" t="str">
        <v>Business</v>
      </c>
      <c r="R414">
        <v>2</v>
      </c>
      <c r="S414" s="2" t="s">
        <v>35</v>
      </c>
    </row>
    <row r="415" spans="1:19" x14ac:dyDescent="0.35">
      <c r="A415">
        <v>40</v>
      </c>
      <c r="B415" s="2" t="s">
        <v>39</v>
      </c>
      <c r="C415" t="s">
        <v>19</v>
      </c>
      <c r="D415" s="1" t="str">
        <v>Male</v>
      </c>
      <c r="E415">
        <v>1</v>
      </c>
      <c r="F415" t="s">
        <v>23</v>
      </c>
      <c r="G415" t="s">
        <v>25</v>
      </c>
      <c r="H415" t="s">
        <v>10</v>
      </c>
      <c r="I415">
        <v>1597</v>
      </c>
      <c r="J415" s="2" t="s">
        <v>41</v>
      </c>
      <c r="K415" s="1" t="str">
        <f t="shared" si="18"/>
        <v>Has Spaces</v>
      </c>
      <c r="L415" s="1" t="b">
        <v>1</v>
      </c>
      <c r="M415" s="1" t="str">
        <f t="shared" si="19"/>
        <v>Valid</v>
      </c>
      <c r="N415">
        <v>10</v>
      </c>
      <c r="O415" s="1" t="str">
        <f t="shared" si="20"/>
        <v>Valid</v>
      </c>
      <c r="P415" t="s">
        <v>14</v>
      </c>
      <c r="Q415" s="1" t="str">
        <v>Car</v>
      </c>
      <c r="R415">
        <v>1</v>
      </c>
      <c r="S415" s="2" t="s">
        <v>34</v>
      </c>
    </row>
    <row r="416" spans="1:19" x14ac:dyDescent="0.35">
      <c r="A416">
        <v>35</v>
      </c>
      <c r="B416" s="2" t="s">
        <v>39</v>
      </c>
      <c r="C416" t="s">
        <v>20</v>
      </c>
      <c r="D416" s="1" t="str">
        <v>Female</v>
      </c>
      <c r="E416">
        <v>2</v>
      </c>
      <c r="F416" t="s">
        <v>21</v>
      </c>
      <c r="G416" t="s">
        <v>10</v>
      </c>
      <c r="H416" t="s">
        <v>24</v>
      </c>
      <c r="I416">
        <v>1381</v>
      </c>
      <c r="J416" s="2" t="s">
        <v>41</v>
      </c>
      <c r="K416" s="1" t="str">
        <f t="shared" si="18"/>
        <v>Has Spaces</v>
      </c>
      <c r="L416" s="1" t="b">
        <v>1</v>
      </c>
      <c r="M416" s="1" t="str">
        <f t="shared" si="19"/>
        <v>Valid</v>
      </c>
      <c r="N416">
        <v>24</v>
      </c>
      <c r="O416" s="1" t="str">
        <f t="shared" si="20"/>
        <v>Valid</v>
      </c>
      <c r="P416" t="s">
        <v>14</v>
      </c>
      <c r="Q416" s="1" t="str">
        <v>Car</v>
      </c>
      <c r="R416">
        <v>2</v>
      </c>
      <c r="S416" s="2" t="s">
        <v>35</v>
      </c>
    </row>
    <row r="417" spans="1:19" x14ac:dyDescent="0.35">
      <c r="A417">
        <v>35</v>
      </c>
      <c r="B417" s="2" t="s">
        <v>39</v>
      </c>
      <c r="C417" t="s">
        <v>19</v>
      </c>
      <c r="D417" s="1" t="str">
        <v>Male</v>
      </c>
      <c r="E417">
        <v>2</v>
      </c>
      <c r="F417" t="s">
        <v>21</v>
      </c>
      <c r="G417" t="s">
        <v>24</v>
      </c>
      <c r="H417" t="s">
        <v>10</v>
      </c>
      <c r="I417">
        <v>5842</v>
      </c>
      <c r="J417" s="2" t="s">
        <v>42</v>
      </c>
      <c r="K417" s="1" t="str">
        <f t="shared" si="18"/>
        <v>Clean</v>
      </c>
      <c r="L417" s="1" t="b">
        <v>1</v>
      </c>
      <c r="M417" s="1" t="str">
        <f t="shared" si="19"/>
        <v>Valid</v>
      </c>
      <c r="N417">
        <v>36</v>
      </c>
      <c r="O417" s="1" t="str">
        <f t="shared" si="20"/>
        <v>Valid</v>
      </c>
      <c r="P417" t="s">
        <v>14</v>
      </c>
      <c r="Q417" s="1" t="str">
        <v>Car</v>
      </c>
      <c r="R417">
        <v>1</v>
      </c>
      <c r="S417" s="2" t="s">
        <v>34</v>
      </c>
    </row>
    <row r="418" spans="1:19" x14ac:dyDescent="0.35">
      <c r="A418">
        <v>33</v>
      </c>
      <c r="B418" s="2" t="s">
        <v>39</v>
      </c>
      <c r="C418" t="s">
        <v>19</v>
      </c>
      <c r="D418" s="1" t="str">
        <v>Male</v>
      </c>
      <c r="E418">
        <v>1</v>
      </c>
      <c r="F418" t="s">
        <v>21</v>
      </c>
      <c r="G418" t="s">
        <v>24</v>
      </c>
      <c r="H418" t="s">
        <v>24</v>
      </c>
      <c r="I418">
        <v>2579</v>
      </c>
      <c r="J418" s="2" t="s">
        <v>43</v>
      </c>
      <c r="K418" s="1" t="str">
        <f t="shared" si="18"/>
        <v>Clean</v>
      </c>
      <c r="L418" s="1" t="b">
        <v>1</v>
      </c>
      <c r="M418" s="1" t="str">
        <f t="shared" si="19"/>
        <v>Valid</v>
      </c>
      <c r="N418">
        <v>12</v>
      </c>
      <c r="O418" s="1" t="str">
        <f t="shared" si="20"/>
        <v>Valid</v>
      </c>
      <c r="P418" t="s">
        <v>14</v>
      </c>
      <c r="Q418" s="1" t="str">
        <v>Car</v>
      </c>
      <c r="R418">
        <v>2</v>
      </c>
      <c r="S418" s="2" t="s">
        <v>35</v>
      </c>
    </row>
    <row r="419" spans="1:19" x14ac:dyDescent="0.35">
      <c r="A419">
        <v>23</v>
      </c>
      <c r="B419" s="2" t="s">
        <v>38</v>
      </c>
      <c r="C419" t="s">
        <v>20</v>
      </c>
      <c r="D419" s="1" t="str">
        <v>Female</v>
      </c>
      <c r="E419">
        <v>2</v>
      </c>
      <c r="F419" t="s">
        <v>23</v>
      </c>
      <c r="G419" t="s">
        <v>10</v>
      </c>
      <c r="H419" t="s">
        <v>24</v>
      </c>
      <c r="I419">
        <v>8471</v>
      </c>
      <c r="J419" s="2" t="s">
        <v>42</v>
      </c>
      <c r="K419" s="1" t="str">
        <f t="shared" si="18"/>
        <v>Clean</v>
      </c>
      <c r="L419" s="1" t="b">
        <v>1</v>
      </c>
      <c r="M419" s="1" t="str">
        <f t="shared" si="19"/>
        <v>Valid</v>
      </c>
      <c r="N419">
        <v>18</v>
      </c>
      <c r="O419" s="1" t="str">
        <f t="shared" si="20"/>
        <v>Valid</v>
      </c>
      <c r="P419" t="s">
        <v>12</v>
      </c>
      <c r="Q419" s="1" t="str">
        <v>Education</v>
      </c>
      <c r="R419">
        <v>1</v>
      </c>
      <c r="S419" s="2" t="s">
        <v>34</v>
      </c>
    </row>
    <row r="420" spans="1:19" x14ac:dyDescent="0.35">
      <c r="A420">
        <v>31</v>
      </c>
      <c r="B420" s="2" t="s">
        <v>39</v>
      </c>
      <c r="C420" t="s">
        <v>20</v>
      </c>
      <c r="D420" s="1" t="str">
        <v>Female</v>
      </c>
      <c r="E420">
        <v>3</v>
      </c>
      <c r="F420" t="s">
        <v>21</v>
      </c>
      <c r="G420" t="s">
        <v>25</v>
      </c>
      <c r="H420" t="s">
        <v>10</v>
      </c>
      <c r="I420">
        <v>2782</v>
      </c>
      <c r="J420" s="2" t="s">
        <v>43</v>
      </c>
      <c r="K420" s="1" t="str">
        <f t="shared" si="18"/>
        <v>Clean</v>
      </c>
      <c r="L420" s="1" t="b">
        <v>1</v>
      </c>
      <c r="M420" s="1" t="str">
        <f t="shared" si="19"/>
        <v>Valid</v>
      </c>
      <c r="N420">
        <v>21</v>
      </c>
      <c r="O420" s="1" t="str">
        <f t="shared" si="20"/>
        <v>Valid</v>
      </c>
      <c r="P420" t="s">
        <v>14</v>
      </c>
      <c r="Q420" s="1" t="str">
        <v>Car</v>
      </c>
      <c r="R420">
        <v>1</v>
      </c>
      <c r="S420" s="2" t="s">
        <v>34</v>
      </c>
    </row>
    <row r="421" spans="1:19" x14ac:dyDescent="0.35">
      <c r="A421">
        <v>33</v>
      </c>
      <c r="B421" s="2" t="s">
        <v>39</v>
      </c>
      <c r="C421" t="s">
        <v>20</v>
      </c>
      <c r="D421" s="1" t="str">
        <v>Female</v>
      </c>
      <c r="E421">
        <v>2</v>
      </c>
      <c r="F421" t="s">
        <v>21</v>
      </c>
      <c r="G421" t="s">
        <v>10</v>
      </c>
      <c r="H421" t="s">
        <v>27</v>
      </c>
      <c r="I421">
        <v>1042</v>
      </c>
      <c r="J421" s="2" t="s">
        <v>41</v>
      </c>
      <c r="K421" s="1" t="str">
        <f t="shared" si="18"/>
        <v>Has Spaces</v>
      </c>
      <c r="L421" s="1" t="b">
        <v>1</v>
      </c>
      <c r="M421" s="1" t="str">
        <f t="shared" si="19"/>
        <v>Valid</v>
      </c>
      <c r="N421">
        <v>18</v>
      </c>
      <c r="O421" s="1" t="str">
        <f t="shared" si="20"/>
        <v>Valid</v>
      </c>
      <c r="P421" t="s">
        <v>14</v>
      </c>
      <c r="Q421" s="1" t="str">
        <v>Car</v>
      </c>
      <c r="R421">
        <v>2</v>
      </c>
      <c r="S421" s="2" t="s">
        <v>35</v>
      </c>
    </row>
    <row r="422" spans="1:19" x14ac:dyDescent="0.35">
      <c r="A422">
        <v>20</v>
      </c>
      <c r="B422" s="2" t="s">
        <v>38</v>
      </c>
      <c r="C422" t="s">
        <v>20</v>
      </c>
      <c r="D422" s="1" t="str">
        <v>Female</v>
      </c>
      <c r="E422">
        <v>2</v>
      </c>
      <c r="F422" t="s">
        <v>23</v>
      </c>
      <c r="G422" t="s">
        <v>26</v>
      </c>
      <c r="H422" t="s">
        <v>10</v>
      </c>
      <c r="I422">
        <v>3186</v>
      </c>
      <c r="J422" s="2" t="s">
        <v>43</v>
      </c>
      <c r="K422" s="1" t="str">
        <f t="shared" si="18"/>
        <v>Clean</v>
      </c>
      <c r="L422" s="1" t="b">
        <v>1</v>
      </c>
      <c r="M422" s="1" t="str">
        <f t="shared" si="19"/>
        <v>Valid</v>
      </c>
      <c r="N422">
        <v>15</v>
      </c>
      <c r="O422" s="1" t="str">
        <f t="shared" si="20"/>
        <v>Valid</v>
      </c>
      <c r="P422" t="s">
        <v>14</v>
      </c>
      <c r="Q422" s="1" t="str">
        <v>Car</v>
      </c>
      <c r="R422">
        <v>1</v>
      </c>
      <c r="S422" s="2" t="s">
        <v>34</v>
      </c>
    </row>
    <row r="423" spans="1:19" x14ac:dyDescent="0.35">
      <c r="A423">
        <v>30</v>
      </c>
      <c r="B423" s="2" t="s">
        <v>39</v>
      </c>
      <c r="C423" t="s">
        <v>19</v>
      </c>
      <c r="D423" s="1" t="str">
        <v>Male</v>
      </c>
      <c r="E423">
        <v>2</v>
      </c>
      <c r="F423" t="s">
        <v>21</v>
      </c>
      <c r="G423" t="s">
        <v>10</v>
      </c>
      <c r="H423" t="s">
        <v>27</v>
      </c>
      <c r="I423">
        <v>2028</v>
      </c>
      <c r="J423" s="2" t="s">
        <v>43</v>
      </c>
      <c r="K423" s="1" t="str">
        <f t="shared" si="18"/>
        <v>Clean</v>
      </c>
      <c r="L423" s="1" t="b">
        <v>1</v>
      </c>
      <c r="M423" s="1" t="str">
        <f t="shared" si="19"/>
        <v>Valid</v>
      </c>
      <c r="N423">
        <v>12</v>
      </c>
      <c r="O423" s="1" t="str">
        <f t="shared" si="20"/>
        <v>Valid</v>
      </c>
      <c r="P423" t="s">
        <v>14</v>
      </c>
      <c r="Q423" s="1" t="str">
        <v>Car</v>
      </c>
      <c r="R423">
        <v>1</v>
      </c>
      <c r="S423" s="2" t="s">
        <v>34</v>
      </c>
    </row>
    <row r="424" spans="1:19" x14ac:dyDescent="0.35">
      <c r="A424">
        <v>47</v>
      </c>
      <c r="B424" s="2" t="s">
        <v>39</v>
      </c>
      <c r="C424" t="s">
        <v>19</v>
      </c>
      <c r="D424" s="1" t="str">
        <v>Male</v>
      </c>
      <c r="E424">
        <v>1</v>
      </c>
      <c r="F424" t="s">
        <v>21</v>
      </c>
      <c r="G424" t="s">
        <v>24</v>
      </c>
      <c r="H424" t="s">
        <v>27</v>
      </c>
      <c r="I424">
        <v>958</v>
      </c>
      <c r="J424" s="2" t="s">
        <v>41</v>
      </c>
      <c r="K424" s="1" t="str">
        <f t="shared" si="18"/>
        <v>Has Spaces</v>
      </c>
      <c r="L424" s="1" t="b">
        <v>1</v>
      </c>
      <c r="M424" s="1" t="str">
        <f t="shared" si="19"/>
        <v>Valid</v>
      </c>
      <c r="N424">
        <v>12</v>
      </c>
      <c r="O424" s="1" t="str">
        <f t="shared" si="20"/>
        <v>Valid</v>
      </c>
      <c r="P424" t="s">
        <v>14</v>
      </c>
      <c r="Q424" s="1" t="str">
        <v>Car</v>
      </c>
      <c r="R424">
        <v>1</v>
      </c>
      <c r="S424" s="2" t="s">
        <v>34</v>
      </c>
    </row>
    <row r="425" spans="1:19" x14ac:dyDescent="0.35">
      <c r="A425">
        <v>34</v>
      </c>
      <c r="B425" s="2" t="s">
        <v>39</v>
      </c>
      <c r="C425" t="s">
        <v>19</v>
      </c>
      <c r="D425" s="1" t="str">
        <v>Male</v>
      </c>
      <c r="E425">
        <v>3</v>
      </c>
      <c r="F425" t="s">
        <v>21</v>
      </c>
      <c r="G425" t="s">
        <v>27</v>
      </c>
      <c r="H425" t="s">
        <v>10</v>
      </c>
      <c r="I425">
        <v>1591</v>
      </c>
      <c r="J425" s="2" t="s">
        <v>41</v>
      </c>
      <c r="K425" s="1" t="str">
        <f t="shared" si="18"/>
        <v>Has Spaces</v>
      </c>
      <c r="L425" s="1" t="b">
        <v>1</v>
      </c>
      <c r="M425" s="1" t="str">
        <f t="shared" si="19"/>
        <v>Valid</v>
      </c>
      <c r="N425">
        <v>21</v>
      </c>
      <c r="O425" s="1" t="str">
        <f t="shared" si="20"/>
        <v>Valid</v>
      </c>
      <c r="P425" t="s">
        <v>13</v>
      </c>
      <c r="Q425" s="1" t="str">
        <v>Furniture/Equipment</v>
      </c>
      <c r="R425">
        <v>1</v>
      </c>
      <c r="S425" s="2" t="s">
        <v>34</v>
      </c>
    </row>
    <row r="426" spans="1:19" x14ac:dyDescent="0.35">
      <c r="A426">
        <v>25</v>
      </c>
      <c r="B426" s="2" t="s">
        <v>38</v>
      </c>
      <c r="C426" t="s">
        <v>20</v>
      </c>
      <c r="D426" s="1" t="str">
        <v>Female</v>
      </c>
      <c r="E426">
        <v>2</v>
      </c>
      <c r="F426" t="s">
        <v>21</v>
      </c>
      <c r="G426" t="s">
        <v>10</v>
      </c>
      <c r="H426" t="s">
        <v>27</v>
      </c>
      <c r="I426">
        <v>2762</v>
      </c>
      <c r="J426" s="2" t="s">
        <v>43</v>
      </c>
      <c r="K426" s="1" t="str">
        <f t="shared" si="18"/>
        <v>Clean</v>
      </c>
      <c r="L426" s="1" t="b">
        <v>1</v>
      </c>
      <c r="M426" s="1" t="str">
        <f t="shared" si="19"/>
        <v>Valid</v>
      </c>
      <c r="N426">
        <v>12</v>
      </c>
      <c r="O426" s="1" t="str">
        <f t="shared" si="20"/>
        <v>Valid</v>
      </c>
      <c r="P426" t="s">
        <v>13</v>
      </c>
      <c r="Q426" s="1" t="str">
        <v>Furniture/Equipment</v>
      </c>
      <c r="R426">
        <v>2</v>
      </c>
      <c r="S426" s="2" t="s">
        <v>35</v>
      </c>
    </row>
    <row r="427" spans="1:19" x14ac:dyDescent="0.35">
      <c r="A427">
        <v>21</v>
      </c>
      <c r="B427" s="2" t="s">
        <v>38</v>
      </c>
      <c r="C427" t="s">
        <v>19</v>
      </c>
      <c r="D427" s="1" t="str">
        <v>Male</v>
      </c>
      <c r="E427">
        <v>2</v>
      </c>
      <c r="F427" t="s">
        <v>23</v>
      </c>
      <c r="G427" t="s">
        <v>24</v>
      </c>
      <c r="H427" t="s">
        <v>27</v>
      </c>
      <c r="I427">
        <v>2779</v>
      </c>
      <c r="J427" s="2" t="s">
        <v>43</v>
      </c>
      <c r="K427" s="1" t="str">
        <f t="shared" si="18"/>
        <v>Clean</v>
      </c>
      <c r="L427" s="1" t="b">
        <v>1</v>
      </c>
      <c r="M427" s="1" t="str">
        <f t="shared" si="19"/>
        <v>Valid</v>
      </c>
      <c r="N427">
        <v>18</v>
      </c>
      <c r="O427" s="1" t="str">
        <f t="shared" si="20"/>
        <v>Valid</v>
      </c>
      <c r="P427" t="s">
        <v>14</v>
      </c>
      <c r="Q427" s="1" t="str">
        <v>Car</v>
      </c>
      <c r="R427">
        <v>1</v>
      </c>
      <c r="S427" s="2" t="s">
        <v>34</v>
      </c>
    </row>
    <row r="428" spans="1:19" x14ac:dyDescent="0.35">
      <c r="A428">
        <v>29</v>
      </c>
      <c r="B428" s="2" t="s">
        <v>38</v>
      </c>
      <c r="C428" t="s">
        <v>19</v>
      </c>
      <c r="D428" s="1" t="str">
        <v>Male</v>
      </c>
      <c r="E428">
        <v>2</v>
      </c>
      <c r="F428" t="s">
        <v>21</v>
      </c>
      <c r="G428" t="s">
        <v>24</v>
      </c>
      <c r="H428" t="s">
        <v>10</v>
      </c>
      <c r="I428">
        <v>2743</v>
      </c>
      <c r="J428" s="2" t="s">
        <v>43</v>
      </c>
      <c r="K428" s="1" t="str">
        <f t="shared" si="18"/>
        <v>Clean</v>
      </c>
      <c r="L428" s="1" t="b">
        <v>1</v>
      </c>
      <c r="M428" s="1" t="str">
        <f t="shared" si="19"/>
        <v>Valid</v>
      </c>
      <c r="N428">
        <v>28</v>
      </c>
      <c r="O428" s="1" t="str">
        <f t="shared" si="20"/>
        <v>Valid</v>
      </c>
      <c r="P428" t="s">
        <v>11</v>
      </c>
      <c r="Q428" s="1" t="str">
        <v>Radio/Tv</v>
      </c>
      <c r="R428">
        <v>1</v>
      </c>
      <c r="S428" s="2" t="s">
        <v>34</v>
      </c>
    </row>
    <row r="429" spans="1:19" x14ac:dyDescent="0.35">
      <c r="A429">
        <v>46</v>
      </c>
      <c r="B429" s="2" t="s">
        <v>39</v>
      </c>
      <c r="C429" t="s">
        <v>19</v>
      </c>
      <c r="D429" s="1" t="str">
        <v>Male</v>
      </c>
      <c r="E429">
        <v>2</v>
      </c>
      <c r="F429" t="s">
        <v>21</v>
      </c>
      <c r="G429" t="s">
        <v>26</v>
      </c>
      <c r="H429" t="s">
        <v>10</v>
      </c>
      <c r="I429">
        <v>1149</v>
      </c>
      <c r="J429" s="2" t="s">
        <v>41</v>
      </c>
      <c r="K429" s="1" t="str">
        <f t="shared" si="18"/>
        <v>Has Spaces</v>
      </c>
      <c r="L429" s="1" t="b">
        <v>1</v>
      </c>
      <c r="M429" s="1" t="str">
        <f t="shared" si="19"/>
        <v>Valid</v>
      </c>
      <c r="N429">
        <v>18</v>
      </c>
      <c r="O429" s="1" t="str">
        <f t="shared" si="20"/>
        <v>Valid</v>
      </c>
      <c r="P429" t="s">
        <v>11</v>
      </c>
      <c r="Q429" s="1" t="str">
        <v>Radio/Tv</v>
      </c>
      <c r="R429">
        <v>1</v>
      </c>
      <c r="S429" s="2" t="s">
        <v>34</v>
      </c>
    </row>
    <row r="430" spans="1:19" x14ac:dyDescent="0.35">
      <c r="A430">
        <v>20</v>
      </c>
      <c r="B430" s="2" t="s">
        <v>38</v>
      </c>
      <c r="C430" t="s">
        <v>19</v>
      </c>
      <c r="D430" s="1" t="str">
        <v>Male</v>
      </c>
      <c r="E430">
        <v>2</v>
      </c>
      <c r="F430" t="s">
        <v>21</v>
      </c>
      <c r="G430" t="s">
        <v>24</v>
      </c>
      <c r="H430" t="s">
        <v>10</v>
      </c>
      <c r="I430">
        <v>1313</v>
      </c>
      <c r="J430" s="2" t="s">
        <v>41</v>
      </c>
      <c r="K430" s="1" t="str">
        <f t="shared" si="18"/>
        <v>Has Spaces</v>
      </c>
      <c r="L430" s="1" t="b">
        <v>1</v>
      </c>
      <c r="M430" s="1" t="str">
        <f t="shared" si="19"/>
        <v>Valid</v>
      </c>
      <c r="N430">
        <v>9</v>
      </c>
      <c r="O430" s="1" t="str">
        <f t="shared" si="20"/>
        <v>Valid</v>
      </c>
      <c r="P430" t="s">
        <v>13</v>
      </c>
      <c r="Q430" s="1" t="str">
        <v>Furniture/Equipment</v>
      </c>
      <c r="R430">
        <v>1</v>
      </c>
      <c r="S430" s="2" t="s">
        <v>34</v>
      </c>
    </row>
    <row r="431" spans="1:19" x14ac:dyDescent="0.35">
      <c r="A431">
        <v>55</v>
      </c>
      <c r="B431" s="2" t="s">
        <v>37</v>
      </c>
      <c r="C431" t="s">
        <v>20</v>
      </c>
      <c r="D431" s="1" t="str">
        <v>Female</v>
      </c>
      <c r="E431">
        <v>0</v>
      </c>
      <c r="F431" t="s">
        <v>22</v>
      </c>
      <c r="G431" t="s">
        <v>24</v>
      </c>
      <c r="H431" t="s">
        <v>24</v>
      </c>
      <c r="I431">
        <v>1190</v>
      </c>
      <c r="J431" s="2" t="s">
        <v>41</v>
      </c>
      <c r="K431" s="1" t="str">
        <f t="shared" si="18"/>
        <v>Has Spaces</v>
      </c>
      <c r="L431" s="1" t="b">
        <v>1</v>
      </c>
      <c r="M431" s="1" t="str">
        <f t="shared" si="19"/>
        <v>Valid</v>
      </c>
      <c r="N431">
        <v>18</v>
      </c>
      <c r="O431" s="1" t="str">
        <f t="shared" si="20"/>
        <v>Valid</v>
      </c>
      <c r="P431" t="s">
        <v>17</v>
      </c>
      <c r="Q431" s="1" t="str">
        <v>Repairs</v>
      </c>
      <c r="R431">
        <v>2</v>
      </c>
      <c r="S431" s="2" t="s">
        <v>35</v>
      </c>
    </row>
    <row r="432" spans="1:19" x14ac:dyDescent="0.35">
      <c r="A432">
        <v>74</v>
      </c>
      <c r="B432" s="2" t="s">
        <v>37</v>
      </c>
      <c r="C432" t="s">
        <v>19</v>
      </c>
      <c r="D432" s="1" t="str">
        <v>Male</v>
      </c>
      <c r="E432">
        <v>1</v>
      </c>
      <c r="F432" t="s">
        <v>21</v>
      </c>
      <c r="G432" t="s">
        <v>24</v>
      </c>
      <c r="H432" t="s">
        <v>10</v>
      </c>
      <c r="I432">
        <v>3448</v>
      </c>
      <c r="J432" s="2" t="s">
        <v>43</v>
      </c>
      <c r="K432" s="1" t="str">
        <f t="shared" si="18"/>
        <v>Clean</v>
      </c>
      <c r="L432" s="1" t="b">
        <v>1</v>
      </c>
      <c r="M432" s="1" t="str">
        <f t="shared" si="19"/>
        <v>Valid</v>
      </c>
      <c r="N432">
        <v>5</v>
      </c>
      <c r="O432" s="1" t="str">
        <f t="shared" si="20"/>
        <v>Valid</v>
      </c>
      <c r="P432" t="s">
        <v>15</v>
      </c>
      <c r="Q432" s="1" t="str">
        <v>Business</v>
      </c>
      <c r="R432">
        <v>1</v>
      </c>
      <c r="S432" s="2" t="s">
        <v>34</v>
      </c>
    </row>
    <row r="433" spans="1:19" x14ac:dyDescent="0.35">
      <c r="A433">
        <v>29</v>
      </c>
      <c r="B433" s="2" t="s">
        <v>38</v>
      </c>
      <c r="C433" t="s">
        <v>19</v>
      </c>
      <c r="D433" s="1" t="str">
        <v>Male</v>
      </c>
      <c r="E433">
        <v>3</v>
      </c>
      <c r="F433" t="s">
        <v>21</v>
      </c>
      <c r="G433" t="s">
        <v>24</v>
      </c>
      <c r="H433" t="s">
        <v>27</v>
      </c>
      <c r="I433">
        <v>11328</v>
      </c>
      <c r="J433" s="2" t="s">
        <v>42</v>
      </c>
      <c r="K433" s="1" t="str">
        <f t="shared" si="18"/>
        <v>Clean</v>
      </c>
      <c r="L433" s="1" t="b">
        <v>1</v>
      </c>
      <c r="M433" s="1" t="str">
        <f t="shared" si="19"/>
        <v>Valid</v>
      </c>
      <c r="N433">
        <v>24</v>
      </c>
      <c r="O433" s="1" t="str">
        <f t="shared" si="20"/>
        <v>Valid</v>
      </c>
      <c r="P433" t="s">
        <v>18</v>
      </c>
      <c r="Q433" s="1" t="str">
        <v>Vacation/Others</v>
      </c>
      <c r="R433">
        <v>2</v>
      </c>
      <c r="S433" s="2" t="s">
        <v>35</v>
      </c>
    </row>
    <row r="434" spans="1:19" x14ac:dyDescent="0.35">
      <c r="A434">
        <v>36</v>
      </c>
      <c r="B434" s="2" t="s">
        <v>39</v>
      </c>
      <c r="C434" t="s">
        <v>19</v>
      </c>
      <c r="D434" s="1" t="str">
        <v>Male</v>
      </c>
      <c r="E434">
        <v>3</v>
      </c>
      <c r="F434" t="s">
        <v>22</v>
      </c>
      <c r="G434" t="s">
        <v>24</v>
      </c>
      <c r="H434" t="s">
        <v>24</v>
      </c>
      <c r="I434">
        <v>1872</v>
      </c>
      <c r="J434" s="2" t="s">
        <v>41</v>
      </c>
      <c r="K434" s="1" t="str">
        <f t="shared" si="18"/>
        <v>Has Spaces</v>
      </c>
      <c r="L434" s="1" t="b">
        <v>1</v>
      </c>
      <c r="M434" s="1" t="str">
        <f t="shared" si="19"/>
        <v>Valid</v>
      </c>
      <c r="N434">
        <v>6</v>
      </c>
      <c r="O434" s="1" t="str">
        <f t="shared" si="20"/>
        <v>Valid</v>
      </c>
      <c r="P434" t="s">
        <v>13</v>
      </c>
      <c r="Q434" s="1" t="str">
        <v>Furniture/Equipment</v>
      </c>
      <c r="R434">
        <v>1</v>
      </c>
      <c r="S434" s="2" t="s">
        <v>34</v>
      </c>
    </row>
    <row r="435" spans="1:19" x14ac:dyDescent="0.35">
      <c r="A435">
        <v>33</v>
      </c>
      <c r="B435" s="2" t="s">
        <v>39</v>
      </c>
      <c r="C435" t="s">
        <v>19</v>
      </c>
      <c r="D435" s="1" t="str">
        <v>Male</v>
      </c>
      <c r="E435">
        <v>2</v>
      </c>
      <c r="F435" t="s">
        <v>21</v>
      </c>
      <c r="G435" t="s">
        <v>24</v>
      </c>
      <c r="H435" t="s">
        <v>10</v>
      </c>
      <c r="I435">
        <v>2058</v>
      </c>
      <c r="J435" s="2" t="s">
        <v>43</v>
      </c>
      <c r="K435" s="1" t="str">
        <f t="shared" si="18"/>
        <v>Clean</v>
      </c>
      <c r="L435" s="1" t="b">
        <v>1</v>
      </c>
      <c r="M435" s="1" t="str">
        <f t="shared" si="19"/>
        <v>Valid</v>
      </c>
      <c r="N435">
        <v>24</v>
      </c>
      <c r="O435" s="1" t="str">
        <f t="shared" si="20"/>
        <v>Valid</v>
      </c>
      <c r="P435" t="s">
        <v>17</v>
      </c>
      <c r="Q435" s="1" t="str">
        <v>Repairs</v>
      </c>
      <c r="R435">
        <v>1</v>
      </c>
      <c r="S435" s="2" t="s">
        <v>34</v>
      </c>
    </row>
    <row r="436" spans="1:19" x14ac:dyDescent="0.35">
      <c r="A436">
        <v>25</v>
      </c>
      <c r="B436" s="2" t="s">
        <v>38</v>
      </c>
      <c r="C436" t="s">
        <v>19</v>
      </c>
      <c r="D436" s="1" t="str">
        <v>Male</v>
      </c>
      <c r="E436">
        <v>2</v>
      </c>
      <c r="F436" t="s">
        <v>21</v>
      </c>
      <c r="G436" t="s">
        <v>24</v>
      </c>
      <c r="H436" t="s">
        <v>24</v>
      </c>
      <c r="I436">
        <v>2136</v>
      </c>
      <c r="J436" s="2" t="s">
        <v>43</v>
      </c>
      <c r="K436" s="1" t="str">
        <f t="shared" si="18"/>
        <v>Clean</v>
      </c>
      <c r="L436" s="1" t="b">
        <v>1</v>
      </c>
      <c r="M436" s="1" t="str">
        <f t="shared" si="19"/>
        <v>Valid</v>
      </c>
      <c r="N436">
        <v>9</v>
      </c>
      <c r="O436" s="1" t="str">
        <f t="shared" si="20"/>
        <v>Valid</v>
      </c>
      <c r="P436" t="s">
        <v>13</v>
      </c>
      <c r="Q436" s="1" t="str">
        <v>Furniture/Equipment</v>
      </c>
      <c r="R436">
        <v>1</v>
      </c>
      <c r="S436" s="2" t="s">
        <v>34</v>
      </c>
    </row>
    <row r="437" spans="1:19" x14ac:dyDescent="0.35">
      <c r="A437">
        <v>25</v>
      </c>
      <c r="B437" s="2" t="s">
        <v>38</v>
      </c>
      <c r="C437" t="s">
        <v>19</v>
      </c>
      <c r="D437" s="1" t="str">
        <v>Male</v>
      </c>
      <c r="E437">
        <v>2</v>
      </c>
      <c r="F437" t="s">
        <v>21</v>
      </c>
      <c r="G437" t="s">
        <v>10</v>
      </c>
      <c r="H437" t="s">
        <v>27</v>
      </c>
      <c r="I437">
        <v>1484</v>
      </c>
      <c r="J437" s="2" t="s">
        <v>41</v>
      </c>
      <c r="K437" s="1" t="str">
        <f t="shared" si="18"/>
        <v>Has Spaces</v>
      </c>
      <c r="L437" s="1" t="b">
        <v>1</v>
      </c>
      <c r="M437" s="1" t="str">
        <f t="shared" si="19"/>
        <v>Valid</v>
      </c>
      <c r="N437">
        <v>12</v>
      </c>
      <c r="O437" s="1" t="str">
        <f t="shared" si="20"/>
        <v>Valid</v>
      </c>
      <c r="P437" t="s">
        <v>11</v>
      </c>
      <c r="Q437" s="1" t="str">
        <v>Radio/Tv</v>
      </c>
      <c r="R437">
        <v>2</v>
      </c>
      <c r="S437" s="2" t="s">
        <v>35</v>
      </c>
    </row>
    <row r="438" spans="1:19" x14ac:dyDescent="0.35">
      <c r="A438">
        <v>23</v>
      </c>
      <c r="B438" s="2" t="s">
        <v>38</v>
      </c>
      <c r="C438" t="s">
        <v>19</v>
      </c>
      <c r="D438" s="1" t="str">
        <v>Male</v>
      </c>
      <c r="E438">
        <v>1</v>
      </c>
      <c r="F438" t="s">
        <v>23</v>
      </c>
      <c r="G438" t="s">
        <v>25</v>
      </c>
      <c r="H438" t="s">
        <v>10</v>
      </c>
      <c r="I438">
        <v>660</v>
      </c>
      <c r="J438" s="2" t="s">
        <v>41</v>
      </c>
      <c r="K438" s="1" t="str">
        <f t="shared" si="18"/>
        <v>Has Spaces</v>
      </c>
      <c r="L438" s="1" t="b">
        <v>1</v>
      </c>
      <c r="M438" s="1" t="str">
        <f t="shared" si="19"/>
        <v>Valid</v>
      </c>
      <c r="N438">
        <v>6</v>
      </c>
      <c r="O438" s="1" t="str">
        <f t="shared" si="20"/>
        <v>Valid</v>
      </c>
      <c r="P438" t="s">
        <v>17</v>
      </c>
      <c r="Q438" s="1" t="str">
        <v>Repairs</v>
      </c>
      <c r="R438">
        <v>1</v>
      </c>
      <c r="S438" s="2" t="s">
        <v>34</v>
      </c>
    </row>
    <row r="439" spans="1:19" x14ac:dyDescent="0.35">
      <c r="A439">
        <v>37</v>
      </c>
      <c r="B439" s="2" t="s">
        <v>39</v>
      </c>
      <c r="C439" t="s">
        <v>20</v>
      </c>
      <c r="D439" s="1" t="str">
        <v>Female</v>
      </c>
      <c r="E439">
        <v>2</v>
      </c>
      <c r="F439" t="s">
        <v>21</v>
      </c>
      <c r="G439" t="s">
        <v>26</v>
      </c>
      <c r="H439" t="s">
        <v>10</v>
      </c>
      <c r="I439">
        <v>1287</v>
      </c>
      <c r="J439" s="2" t="s">
        <v>41</v>
      </c>
      <c r="K439" s="1" t="str">
        <f t="shared" si="18"/>
        <v>Has Spaces</v>
      </c>
      <c r="L439" s="1" t="b">
        <v>1</v>
      </c>
      <c r="M439" s="1" t="str">
        <f t="shared" si="19"/>
        <v>Valid</v>
      </c>
      <c r="N439">
        <v>24</v>
      </c>
      <c r="O439" s="1" t="str">
        <f t="shared" si="20"/>
        <v>Valid</v>
      </c>
      <c r="P439" t="s">
        <v>14</v>
      </c>
      <c r="Q439" s="1" t="str">
        <v>Car</v>
      </c>
      <c r="R439">
        <v>1</v>
      </c>
      <c r="S439" s="2" t="s">
        <v>34</v>
      </c>
    </row>
    <row r="440" spans="1:19" x14ac:dyDescent="0.35">
      <c r="A440">
        <v>65</v>
      </c>
      <c r="B440" s="2" t="s">
        <v>37</v>
      </c>
      <c r="C440" t="s">
        <v>19</v>
      </c>
      <c r="D440" s="1" t="str">
        <v>Male</v>
      </c>
      <c r="E440">
        <v>0</v>
      </c>
      <c r="F440" t="s">
        <v>21</v>
      </c>
      <c r="G440" t="s">
        <v>24</v>
      </c>
      <c r="H440" t="s">
        <v>24</v>
      </c>
      <c r="I440">
        <v>3394</v>
      </c>
      <c r="J440" s="2" t="s">
        <v>43</v>
      </c>
      <c r="K440" s="1" t="str">
        <f t="shared" si="18"/>
        <v>Clean</v>
      </c>
      <c r="L440" s="1" t="b">
        <v>1</v>
      </c>
      <c r="M440" s="1" t="str">
        <f t="shared" si="19"/>
        <v>Valid</v>
      </c>
      <c r="N440">
        <v>42</v>
      </c>
      <c r="O440" s="1" t="str">
        <f t="shared" si="20"/>
        <v>Valid</v>
      </c>
      <c r="P440" t="s">
        <v>17</v>
      </c>
      <c r="Q440" s="1" t="str">
        <v>Repairs</v>
      </c>
      <c r="R440">
        <v>1</v>
      </c>
      <c r="S440" s="2" t="s">
        <v>34</v>
      </c>
    </row>
    <row r="441" spans="1:19" x14ac:dyDescent="0.35">
      <c r="A441">
        <v>26</v>
      </c>
      <c r="B441" s="2" t="s">
        <v>38</v>
      </c>
      <c r="C441" t="s">
        <v>20</v>
      </c>
      <c r="D441" s="1" t="str">
        <v>Female</v>
      </c>
      <c r="E441">
        <v>0</v>
      </c>
      <c r="F441" t="s">
        <v>21</v>
      </c>
      <c r="G441" t="s">
        <v>24</v>
      </c>
      <c r="H441" t="s">
        <v>26</v>
      </c>
      <c r="I441">
        <v>609</v>
      </c>
      <c r="J441" s="2" t="s">
        <v>41</v>
      </c>
      <c r="K441" s="1" t="str">
        <f t="shared" si="18"/>
        <v>Has Spaces</v>
      </c>
      <c r="L441" s="1" t="b">
        <v>1</v>
      </c>
      <c r="M441" s="1" t="str">
        <f t="shared" si="19"/>
        <v>Valid</v>
      </c>
      <c r="N441">
        <v>12</v>
      </c>
      <c r="O441" s="1" t="str">
        <f t="shared" si="20"/>
        <v>Valid</v>
      </c>
      <c r="P441" t="s">
        <v>15</v>
      </c>
      <c r="Q441" s="1" t="str">
        <v>Business</v>
      </c>
      <c r="R441">
        <v>2</v>
      </c>
      <c r="S441" s="2" t="s">
        <v>35</v>
      </c>
    </row>
    <row r="442" spans="1:19" x14ac:dyDescent="0.35">
      <c r="A442">
        <v>39</v>
      </c>
      <c r="B442" s="2" t="s">
        <v>39</v>
      </c>
      <c r="C442" t="s">
        <v>19</v>
      </c>
      <c r="D442" s="1" t="str">
        <v>Male</v>
      </c>
      <c r="E442">
        <v>3</v>
      </c>
      <c r="F442" t="s">
        <v>21</v>
      </c>
      <c r="G442" t="s">
        <v>24</v>
      </c>
      <c r="H442" t="s">
        <v>10</v>
      </c>
      <c r="I442">
        <v>1884</v>
      </c>
      <c r="J442" s="2" t="s">
        <v>41</v>
      </c>
      <c r="K442" s="1" t="str">
        <f t="shared" si="18"/>
        <v>Has Spaces</v>
      </c>
      <c r="L442" s="1" t="b">
        <v>1</v>
      </c>
      <c r="M442" s="1" t="str">
        <f t="shared" si="19"/>
        <v>Valid</v>
      </c>
      <c r="N442">
        <v>12</v>
      </c>
      <c r="O442" s="1" t="str">
        <f t="shared" si="20"/>
        <v>Valid</v>
      </c>
      <c r="P442" t="s">
        <v>14</v>
      </c>
      <c r="Q442" s="1" t="str">
        <v>Car</v>
      </c>
      <c r="R442">
        <v>1</v>
      </c>
      <c r="S442" s="2" t="s">
        <v>34</v>
      </c>
    </row>
    <row r="443" spans="1:19" x14ac:dyDescent="0.35">
      <c r="A443">
        <v>30</v>
      </c>
      <c r="B443" s="2" t="s">
        <v>39</v>
      </c>
      <c r="C443" t="s">
        <v>20</v>
      </c>
      <c r="D443" s="1" t="str">
        <v>Female</v>
      </c>
      <c r="E443">
        <v>2</v>
      </c>
      <c r="F443" t="s">
        <v>21</v>
      </c>
      <c r="G443" t="s">
        <v>24</v>
      </c>
      <c r="H443" t="s">
        <v>24</v>
      </c>
      <c r="I443">
        <v>1620</v>
      </c>
      <c r="J443" s="2" t="s">
        <v>41</v>
      </c>
      <c r="K443" s="1" t="str">
        <f t="shared" si="18"/>
        <v>Has Spaces</v>
      </c>
      <c r="L443" s="1" t="b">
        <v>1</v>
      </c>
      <c r="M443" s="1" t="str">
        <f t="shared" si="19"/>
        <v>Valid</v>
      </c>
      <c r="N443">
        <v>12</v>
      </c>
      <c r="O443" s="1" t="str">
        <f t="shared" si="20"/>
        <v>Valid</v>
      </c>
      <c r="P443" t="s">
        <v>13</v>
      </c>
      <c r="Q443" s="1" t="str">
        <v>Furniture/Equipment</v>
      </c>
      <c r="R443">
        <v>1</v>
      </c>
      <c r="S443" s="2" t="s">
        <v>34</v>
      </c>
    </row>
    <row r="444" spans="1:19" x14ac:dyDescent="0.35">
      <c r="A444">
        <v>29</v>
      </c>
      <c r="B444" s="2" t="s">
        <v>38</v>
      </c>
      <c r="C444" t="s">
        <v>19</v>
      </c>
      <c r="D444" s="1" t="str">
        <v>Male</v>
      </c>
      <c r="E444">
        <v>2</v>
      </c>
      <c r="F444" t="s">
        <v>21</v>
      </c>
      <c r="G444" t="s">
        <v>24</v>
      </c>
      <c r="H444" t="s">
        <v>27</v>
      </c>
      <c r="I444">
        <v>2629</v>
      </c>
      <c r="J444" s="2" t="s">
        <v>43</v>
      </c>
      <c r="K444" s="1" t="str">
        <f t="shared" si="18"/>
        <v>Clean</v>
      </c>
      <c r="L444" s="1" t="b">
        <v>1</v>
      </c>
      <c r="M444" s="1" t="str">
        <f t="shared" si="19"/>
        <v>Valid</v>
      </c>
      <c r="N444">
        <v>20</v>
      </c>
      <c r="O444" s="1" t="str">
        <f t="shared" si="20"/>
        <v>Valid</v>
      </c>
      <c r="P444" t="s">
        <v>18</v>
      </c>
      <c r="Q444" s="1" t="str">
        <v>Vacation/Others</v>
      </c>
      <c r="R444">
        <v>1</v>
      </c>
      <c r="S444" s="2" t="s">
        <v>34</v>
      </c>
    </row>
    <row r="445" spans="1:19" x14ac:dyDescent="0.35">
      <c r="A445">
        <v>41</v>
      </c>
      <c r="B445" s="2" t="s">
        <v>39</v>
      </c>
      <c r="C445" t="s">
        <v>19</v>
      </c>
      <c r="D445" s="1" t="str">
        <v>Male</v>
      </c>
      <c r="E445">
        <v>1</v>
      </c>
      <c r="F445" t="s">
        <v>21</v>
      </c>
      <c r="G445" t="s">
        <v>24</v>
      </c>
      <c r="H445" t="s">
        <v>10</v>
      </c>
      <c r="I445">
        <v>719</v>
      </c>
      <c r="J445" s="2" t="s">
        <v>41</v>
      </c>
      <c r="K445" s="1" t="str">
        <f t="shared" si="18"/>
        <v>Has Spaces</v>
      </c>
      <c r="L445" s="1" t="b">
        <v>1</v>
      </c>
      <c r="M445" s="1" t="str">
        <f t="shared" si="19"/>
        <v>Valid</v>
      </c>
      <c r="N445">
        <v>12</v>
      </c>
      <c r="O445" s="1" t="str">
        <f t="shared" si="20"/>
        <v>Valid</v>
      </c>
      <c r="P445" t="s">
        <v>12</v>
      </c>
      <c r="Q445" s="1" t="str">
        <v>Education</v>
      </c>
      <c r="R445">
        <v>2</v>
      </c>
      <c r="S445" s="2" t="s">
        <v>35</v>
      </c>
    </row>
    <row r="446" spans="1:19" x14ac:dyDescent="0.35">
      <c r="A446">
        <v>30</v>
      </c>
      <c r="B446" s="2" t="s">
        <v>39</v>
      </c>
      <c r="C446" t="s">
        <v>20</v>
      </c>
      <c r="D446" s="1" t="str">
        <v>Female</v>
      </c>
      <c r="E446">
        <v>3</v>
      </c>
      <c r="F446" t="s">
        <v>21</v>
      </c>
      <c r="G446" t="s">
        <v>24</v>
      </c>
      <c r="H446" t="s">
        <v>27</v>
      </c>
      <c r="I446">
        <v>5096</v>
      </c>
      <c r="J446" s="2" t="s">
        <v>42</v>
      </c>
      <c r="K446" s="1" t="str">
        <f t="shared" si="18"/>
        <v>Clean</v>
      </c>
      <c r="L446" s="1" t="b">
        <v>1</v>
      </c>
      <c r="M446" s="1" t="str">
        <f t="shared" si="19"/>
        <v>Valid</v>
      </c>
      <c r="N446">
        <v>48</v>
      </c>
      <c r="O446" s="1" t="str">
        <f t="shared" si="20"/>
        <v>Valid</v>
      </c>
      <c r="P446" t="s">
        <v>13</v>
      </c>
      <c r="Q446" s="1" t="str">
        <v>Furniture/Equipment</v>
      </c>
      <c r="R446">
        <v>2</v>
      </c>
      <c r="S446" s="2" t="s">
        <v>35</v>
      </c>
    </row>
    <row r="447" spans="1:19" x14ac:dyDescent="0.35">
      <c r="A447">
        <v>41</v>
      </c>
      <c r="B447" s="2" t="s">
        <v>39</v>
      </c>
      <c r="C447" t="s">
        <v>20</v>
      </c>
      <c r="D447" s="1" t="str">
        <v>Female</v>
      </c>
      <c r="E447">
        <v>1</v>
      </c>
      <c r="F447" t="s">
        <v>23</v>
      </c>
      <c r="G447" t="s">
        <v>10</v>
      </c>
      <c r="H447" t="s">
        <v>10</v>
      </c>
      <c r="I447">
        <v>1244</v>
      </c>
      <c r="J447" s="2" t="s">
        <v>41</v>
      </c>
      <c r="K447" s="1" t="str">
        <f t="shared" si="18"/>
        <v>Has Spaces</v>
      </c>
      <c r="L447" s="1" t="b">
        <v>1</v>
      </c>
      <c r="M447" s="1" t="str">
        <f t="shared" si="19"/>
        <v>Valid</v>
      </c>
      <c r="N447">
        <v>9</v>
      </c>
      <c r="O447" s="1" t="str">
        <f t="shared" si="20"/>
        <v>Valid</v>
      </c>
      <c r="P447" t="s">
        <v>12</v>
      </c>
      <c r="Q447" s="1" t="str">
        <v>Education</v>
      </c>
      <c r="R447">
        <v>1</v>
      </c>
      <c r="S447" s="2" t="s">
        <v>34</v>
      </c>
    </row>
    <row r="448" spans="1:19" x14ac:dyDescent="0.35">
      <c r="A448">
        <v>34</v>
      </c>
      <c r="B448" s="2" t="s">
        <v>39</v>
      </c>
      <c r="C448" t="s">
        <v>20</v>
      </c>
      <c r="D448" s="1" t="str">
        <v>Female</v>
      </c>
      <c r="E448">
        <v>2</v>
      </c>
      <c r="F448" t="s">
        <v>21</v>
      </c>
      <c r="G448" t="s">
        <v>24</v>
      </c>
      <c r="H448" t="s">
        <v>24</v>
      </c>
      <c r="I448">
        <v>1842</v>
      </c>
      <c r="J448" s="2" t="s">
        <v>41</v>
      </c>
      <c r="K448" s="1" t="str">
        <f t="shared" si="18"/>
        <v>Has Spaces</v>
      </c>
      <c r="L448" s="1" t="b">
        <v>1</v>
      </c>
      <c r="M448" s="1" t="str">
        <f t="shared" si="19"/>
        <v>Valid</v>
      </c>
      <c r="N448">
        <v>36</v>
      </c>
      <c r="O448" s="1" t="str">
        <f t="shared" si="20"/>
        <v>Valid</v>
      </c>
      <c r="P448" t="s">
        <v>14</v>
      </c>
      <c r="Q448" s="1" t="str">
        <v>Car</v>
      </c>
      <c r="R448">
        <v>2</v>
      </c>
      <c r="S448" s="2" t="s">
        <v>35</v>
      </c>
    </row>
    <row r="449" spans="1:19" x14ac:dyDescent="0.35">
      <c r="A449">
        <v>35</v>
      </c>
      <c r="B449" s="2" t="s">
        <v>39</v>
      </c>
      <c r="C449" t="s">
        <v>19</v>
      </c>
      <c r="D449" s="1" t="str">
        <v>Male</v>
      </c>
      <c r="E449">
        <v>2</v>
      </c>
      <c r="F449" t="s">
        <v>21</v>
      </c>
      <c r="G449" t="s">
        <v>24</v>
      </c>
      <c r="H449" t="s">
        <v>27</v>
      </c>
      <c r="I449">
        <v>2576</v>
      </c>
      <c r="J449" s="2" t="s">
        <v>43</v>
      </c>
      <c r="K449" s="1" t="str">
        <f t="shared" si="18"/>
        <v>Clean</v>
      </c>
      <c r="L449" s="1" t="b">
        <v>1</v>
      </c>
      <c r="M449" s="1" t="str">
        <f t="shared" si="19"/>
        <v>Valid</v>
      </c>
      <c r="N449">
        <v>7</v>
      </c>
      <c r="O449" s="1" t="str">
        <f t="shared" si="20"/>
        <v>Valid</v>
      </c>
      <c r="P449" t="s">
        <v>11</v>
      </c>
      <c r="Q449" s="1" t="str">
        <v>Radio/Tv</v>
      </c>
      <c r="R449">
        <v>1</v>
      </c>
      <c r="S449" s="2" t="s">
        <v>34</v>
      </c>
    </row>
    <row r="450" spans="1:19" x14ac:dyDescent="0.35">
      <c r="A450">
        <v>55</v>
      </c>
      <c r="B450" s="2" t="s">
        <v>37</v>
      </c>
      <c r="C450" t="s">
        <v>20</v>
      </c>
      <c r="D450" s="1" t="str">
        <v>Female</v>
      </c>
      <c r="E450">
        <v>3</v>
      </c>
      <c r="F450" t="s">
        <v>21</v>
      </c>
      <c r="G450" t="s">
        <v>10</v>
      </c>
      <c r="H450" t="s">
        <v>26</v>
      </c>
      <c r="I450">
        <v>1424</v>
      </c>
      <c r="J450" s="2" t="s">
        <v>41</v>
      </c>
      <c r="K450" s="1" t="str">
        <f t="shared" si="18"/>
        <v>Has Spaces</v>
      </c>
      <c r="L450" s="1" t="b">
        <v>1</v>
      </c>
      <c r="M450" s="1" t="str">
        <f t="shared" si="19"/>
        <v>Valid</v>
      </c>
      <c r="N450">
        <v>12</v>
      </c>
      <c r="O450" s="1" t="str">
        <f t="shared" si="20"/>
        <v>Valid</v>
      </c>
      <c r="P450" t="s">
        <v>13</v>
      </c>
      <c r="Q450" s="1" t="str">
        <v>Furniture/Equipment</v>
      </c>
      <c r="R450">
        <v>1</v>
      </c>
      <c r="S450" s="2" t="s">
        <v>34</v>
      </c>
    </row>
    <row r="451" spans="1:19" x14ac:dyDescent="0.35">
      <c r="A451">
        <v>61</v>
      </c>
      <c r="B451" s="2" t="s">
        <v>37</v>
      </c>
      <c r="C451" t="s">
        <v>19</v>
      </c>
      <c r="D451" s="1" t="str">
        <v>Male</v>
      </c>
      <c r="E451">
        <v>2</v>
      </c>
      <c r="F451" t="s">
        <v>21</v>
      </c>
      <c r="G451" t="s">
        <v>26</v>
      </c>
      <c r="H451" t="s">
        <v>27</v>
      </c>
      <c r="I451">
        <v>1512</v>
      </c>
      <c r="J451" s="2" t="s">
        <v>41</v>
      </c>
      <c r="K451" s="1" t="str">
        <f t="shared" ref="K451:K514" si="21">IF(J451=TRIM(J451),"Clean","Has Spaces")</f>
        <v>Has Spaces</v>
      </c>
      <c r="L451" s="1" t="b">
        <v>1</v>
      </c>
      <c r="M451" s="1" t="str">
        <f t="shared" ref="M451:M514" si="22">IF(I451&gt;0,"Valid", "Invalid")</f>
        <v>Valid</v>
      </c>
      <c r="N451">
        <v>15</v>
      </c>
      <c r="O451" s="1" t="str">
        <f t="shared" ref="O451:O514" si="23">IF(N451&lt;=0,"invalid", "Valid")</f>
        <v>Valid</v>
      </c>
      <c r="P451" t="s">
        <v>17</v>
      </c>
      <c r="Q451" s="1" t="str">
        <v>Repairs</v>
      </c>
      <c r="R451">
        <v>2</v>
      </c>
      <c r="S451" s="2" t="s">
        <v>35</v>
      </c>
    </row>
    <row r="452" spans="1:19" x14ac:dyDescent="0.35">
      <c r="A452">
        <v>30</v>
      </c>
      <c r="B452" s="2" t="s">
        <v>39</v>
      </c>
      <c r="C452" t="s">
        <v>19</v>
      </c>
      <c r="D452" s="1" t="str">
        <v>Male</v>
      </c>
      <c r="E452">
        <v>3</v>
      </c>
      <c r="F452" t="s">
        <v>21</v>
      </c>
      <c r="G452" t="s">
        <v>10</v>
      </c>
      <c r="H452" t="s">
        <v>10</v>
      </c>
      <c r="I452">
        <v>11054</v>
      </c>
      <c r="J452" s="2" t="s">
        <v>42</v>
      </c>
      <c r="K452" s="1" t="str">
        <f t="shared" si="21"/>
        <v>Clean</v>
      </c>
      <c r="L452" s="1" t="b">
        <v>1</v>
      </c>
      <c r="M452" s="1" t="str">
        <f t="shared" si="22"/>
        <v>Valid</v>
      </c>
      <c r="N452">
        <v>36</v>
      </c>
      <c r="O452" s="1" t="str">
        <f t="shared" si="23"/>
        <v>Valid</v>
      </c>
      <c r="P452" t="s">
        <v>14</v>
      </c>
      <c r="Q452" s="1" t="str">
        <v>Car</v>
      </c>
      <c r="R452">
        <v>1</v>
      </c>
      <c r="S452" s="2" t="s">
        <v>34</v>
      </c>
    </row>
    <row r="453" spans="1:19" x14ac:dyDescent="0.35">
      <c r="A453">
        <v>29</v>
      </c>
      <c r="B453" s="2" t="s">
        <v>38</v>
      </c>
      <c r="C453" t="s">
        <v>20</v>
      </c>
      <c r="D453" s="1" t="str">
        <v>Female</v>
      </c>
      <c r="E453">
        <v>2</v>
      </c>
      <c r="F453" t="s">
        <v>21</v>
      </c>
      <c r="G453" t="s">
        <v>24</v>
      </c>
      <c r="H453" t="s">
        <v>10</v>
      </c>
      <c r="I453">
        <v>518</v>
      </c>
      <c r="J453" s="2" t="s">
        <v>41</v>
      </c>
      <c r="K453" s="1" t="str">
        <f t="shared" si="21"/>
        <v>Has Spaces</v>
      </c>
      <c r="L453" s="1" t="b">
        <v>1</v>
      </c>
      <c r="M453" s="1" t="str">
        <f t="shared" si="22"/>
        <v>Valid</v>
      </c>
      <c r="N453">
        <v>6</v>
      </c>
      <c r="O453" s="1" t="str">
        <f t="shared" si="23"/>
        <v>Valid</v>
      </c>
      <c r="P453" t="s">
        <v>11</v>
      </c>
      <c r="Q453" s="1" t="str">
        <v>Radio/Tv</v>
      </c>
      <c r="R453">
        <v>1</v>
      </c>
      <c r="S453" s="2" t="s">
        <v>34</v>
      </c>
    </row>
    <row r="454" spans="1:19" x14ac:dyDescent="0.35">
      <c r="A454">
        <v>34</v>
      </c>
      <c r="B454" s="2" t="s">
        <v>39</v>
      </c>
      <c r="C454" t="s">
        <v>19</v>
      </c>
      <c r="D454" s="1" t="str">
        <v>Male</v>
      </c>
      <c r="E454">
        <v>2</v>
      </c>
      <c r="F454" t="s">
        <v>21</v>
      </c>
      <c r="G454" t="s">
        <v>24</v>
      </c>
      <c r="H454" t="s">
        <v>10</v>
      </c>
      <c r="I454">
        <v>2759</v>
      </c>
      <c r="J454" s="2" t="s">
        <v>43</v>
      </c>
      <c r="K454" s="1" t="str">
        <f t="shared" si="21"/>
        <v>Clean</v>
      </c>
      <c r="L454" s="1" t="b">
        <v>1</v>
      </c>
      <c r="M454" s="1" t="str">
        <f t="shared" si="22"/>
        <v>Valid</v>
      </c>
      <c r="N454">
        <v>12</v>
      </c>
      <c r="O454" s="1" t="str">
        <f t="shared" si="23"/>
        <v>Valid</v>
      </c>
      <c r="P454" t="s">
        <v>13</v>
      </c>
      <c r="Q454" s="1" t="str">
        <v>Furniture/Equipment</v>
      </c>
      <c r="R454">
        <v>1</v>
      </c>
      <c r="S454" s="2" t="s">
        <v>34</v>
      </c>
    </row>
    <row r="455" spans="1:19" x14ac:dyDescent="0.35">
      <c r="A455">
        <v>35</v>
      </c>
      <c r="B455" s="2" t="s">
        <v>39</v>
      </c>
      <c r="C455" t="s">
        <v>19</v>
      </c>
      <c r="D455" s="1" t="str">
        <v>Male</v>
      </c>
      <c r="E455">
        <v>3</v>
      </c>
      <c r="F455" t="s">
        <v>21</v>
      </c>
      <c r="G455" t="s">
        <v>24</v>
      </c>
      <c r="H455" t="s">
        <v>10</v>
      </c>
      <c r="I455">
        <v>2670</v>
      </c>
      <c r="J455" s="2" t="s">
        <v>43</v>
      </c>
      <c r="K455" s="1" t="str">
        <f t="shared" si="21"/>
        <v>Clean</v>
      </c>
      <c r="L455" s="1" t="b">
        <v>1</v>
      </c>
      <c r="M455" s="1" t="str">
        <f t="shared" si="22"/>
        <v>Valid</v>
      </c>
      <c r="N455">
        <v>24</v>
      </c>
      <c r="O455" s="1" t="str">
        <f t="shared" si="23"/>
        <v>Valid</v>
      </c>
      <c r="P455" t="s">
        <v>14</v>
      </c>
      <c r="Q455" s="1" t="str">
        <v>Car</v>
      </c>
      <c r="R455">
        <v>1</v>
      </c>
      <c r="S455" s="2" t="s">
        <v>34</v>
      </c>
    </row>
    <row r="456" spans="1:19" x14ac:dyDescent="0.35">
      <c r="A456">
        <v>31</v>
      </c>
      <c r="B456" s="2" t="s">
        <v>39</v>
      </c>
      <c r="C456" t="s">
        <v>19</v>
      </c>
      <c r="D456" s="1" t="str">
        <v>Male</v>
      </c>
      <c r="E456">
        <v>2</v>
      </c>
      <c r="F456" t="s">
        <v>21</v>
      </c>
      <c r="G456" t="s">
        <v>24</v>
      </c>
      <c r="H456" t="s">
        <v>24</v>
      </c>
      <c r="I456">
        <v>4817</v>
      </c>
      <c r="J456" s="2" t="s">
        <v>43</v>
      </c>
      <c r="K456" s="1" t="str">
        <f t="shared" si="21"/>
        <v>Clean</v>
      </c>
      <c r="L456" s="1" t="b">
        <v>1</v>
      </c>
      <c r="M456" s="1" t="str">
        <f t="shared" si="22"/>
        <v>Valid</v>
      </c>
      <c r="N456">
        <v>24</v>
      </c>
      <c r="O456" s="1" t="str">
        <f t="shared" si="23"/>
        <v>Valid</v>
      </c>
      <c r="P456" t="s">
        <v>14</v>
      </c>
      <c r="Q456" s="1" t="str">
        <v>Car</v>
      </c>
      <c r="R456">
        <v>2</v>
      </c>
      <c r="S456" s="2" t="s">
        <v>35</v>
      </c>
    </row>
    <row r="457" spans="1:19" x14ac:dyDescent="0.35">
      <c r="A457">
        <v>29</v>
      </c>
      <c r="B457" s="2" t="s">
        <v>38</v>
      </c>
      <c r="C457" t="s">
        <v>20</v>
      </c>
      <c r="D457" s="1" t="str">
        <v>Female</v>
      </c>
      <c r="E457">
        <v>3</v>
      </c>
      <c r="F457" t="s">
        <v>21</v>
      </c>
      <c r="G457" t="s">
        <v>24</v>
      </c>
      <c r="H457" t="s">
        <v>10</v>
      </c>
      <c r="I457">
        <v>2679</v>
      </c>
      <c r="J457" s="2" t="s">
        <v>43</v>
      </c>
      <c r="K457" s="1" t="str">
        <f t="shared" si="21"/>
        <v>Clean</v>
      </c>
      <c r="L457" s="1" t="b">
        <v>1</v>
      </c>
      <c r="M457" s="1" t="str">
        <f t="shared" si="22"/>
        <v>Valid</v>
      </c>
      <c r="N457">
        <v>24</v>
      </c>
      <c r="O457" s="1" t="str">
        <f t="shared" si="23"/>
        <v>Valid</v>
      </c>
      <c r="P457" t="s">
        <v>14</v>
      </c>
      <c r="Q457" s="1" t="str">
        <v>Car</v>
      </c>
      <c r="R457">
        <v>1</v>
      </c>
      <c r="S457" s="2" t="s">
        <v>34</v>
      </c>
    </row>
    <row r="458" spans="1:19" x14ac:dyDescent="0.35">
      <c r="A458">
        <v>36</v>
      </c>
      <c r="B458" s="2" t="s">
        <v>39</v>
      </c>
      <c r="C458" t="s">
        <v>19</v>
      </c>
      <c r="D458" s="1" t="str">
        <v>Male</v>
      </c>
      <c r="E458">
        <v>2</v>
      </c>
      <c r="F458" t="s">
        <v>23</v>
      </c>
      <c r="G458" t="s">
        <v>24</v>
      </c>
      <c r="H458" t="s">
        <v>24</v>
      </c>
      <c r="I458">
        <v>3905</v>
      </c>
      <c r="J458" s="2" t="s">
        <v>43</v>
      </c>
      <c r="K458" s="1" t="str">
        <f t="shared" si="21"/>
        <v>Clean</v>
      </c>
      <c r="L458" s="1" t="b">
        <v>1</v>
      </c>
      <c r="M458" s="1" t="str">
        <f t="shared" si="22"/>
        <v>Valid</v>
      </c>
      <c r="N458">
        <v>11</v>
      </c>
      <c r="O458" s="1" t="str">
        <f t="shared" si="23"/>
        <v>Valid</v>
      </c>
      <c r="P458" t="s">
        <v>14</v>
      </c>
      <c r="Q458" s="1" t="str">
        <v>Car</v>
      </c>
      <c r="R458">
        <v>1</v>
      </c>
      <c r="S458" s="2" t="s">
        <v>34</v>
      </c>
    </row>
    <row r="459" spans="1:19" x14ac:dyDescent="0.35">
      <c r="A459">
        <v>35</v>
      </c>
      <c r="B459" s="2" t="s">
        <v>39</v>
      </c>
      <c r="C459" t="s">
        <v>19</v>
      </c>
      <c r="D459" s="1" t="str">
        <v>Male</v>
      </c>
      <c r="E459">
        <v>2</v>
      </c>
      <c r="F459" t="s">
        <v>22</v>
      </c>
      <c r="G459" t="s">
        <v>24</v>
      </c>
      <c r="H459" t="s">
        <v>24</v>
      </c>
      <c r="I459">
        <v>3386</v>
      </c>
      <c r="J459" s="2" t="s">
        <v>43</v>
      </c>
      <c r="K459" s="1" t="str">
        <f t="shared" si="21"/>
        <v>Clean</v>
      </c>
      <c r="L459" s="1" t="b">
        <v>1</v>
      </c>
      <c r="M459" s="1" t="str">
        <f t="shared" si="22"/>
        <v>Valid</v>
      </c>
      <c r="N459">
        <v>12</v>
      </c>
      <c r="O459" s="1" t="str">
        <f t="shared" si="23"/>
        <v>Valid</v>
      </c>
      <c r="P459" t="s">
        <v>14</v>
      </c>
      <c r="Q459" s="1" t="str">
        <v>Car</v>
      </c>
      <c r="R459">
        <v>2</v>
      </c>
      <c r="S459" s="2" t="s">
        <v>35</v>
      </c>
    </row>
    <row r="460" spans="1:19" x14ac:dyDescent="0.35">
      <c r="A460">
        <v>27</v>
      </c>
      <c r="B460" s="2" t="s">
        <v>38</v>
      </c>
      <c r="C460" t="s">
        <v>20</v>
      </c>
      <c r="D460" s="1" t="str">
        <v>Female</v>
      </c>
      <c r="E460">
        <v>2</v>
      </c>
      <c r="F460" t="s">
        <v>21</v>
      </c>
      <c r="G460" t="s">
        <v>24</v>
      </c>
      <c r="H460" t="s">
        <v>24</v>
      </c>
      <c r="I460">
        <v>343</v>
      </c>
      <c r="J460" s="2" t="s">
        <v>41</v>
      </c>
      <c r="K460" s="1" t="str">
        <f t="shared" si="21"/>
        <v>Has Spaces</v>
      </c>
      <c r="L460" s="1" t="b">
        <v>1</v>
      </c>
      <c r="M460" s="1" t="str">
        <f t="shared" si="22"/>
        <v>Valid</v>
      </c>
      <c r="N460">
        <v>6</v>
      </c>
      <c r="O460" s="1" t="str">
        <f t="shared" si="23"/>
        <v>Valid</v>
      </c>
      <c r="P460" t="s">
        <v>16</v>
      </c>
      <c r="Q460" s="1" t="str">
        <v>Domestic Appliances</v>
      </c>
      <c r="R460">
        <v>1</v>
      </c>
      <c r="S460" s="2" t="s">
        <v>34</v>
      </c>
    </row>
    <row r="461" spans="1:19" x14ac:dyDescent="0.35">
      <c r="A461">
        <v>32</v>
      </c>
      <c r="B461" s="2" t="s">
        <v>39</v>
      </c>
      <c r="C461" t="s">
        <v>19</v>
      </c>
      <c r="D461" s="1" t="str">
        <v>Male</v>
      </c>
      <c r="E461">
        <v>2</v>
      </c>
      <c r="F461" t="s">
        <v>21</v>
      </c>
      <c r="G461" t="s">
        <v>24</v>
      </c>
      <c r="H461" t="s">
        <v>10</v>
      </c>
      <c r="I461">
        <v>4594</v>
      </c>
      <c r="J461" s="2" t="s">
        <v>43</v>
      </c>
      <c r="K461" s="1" t="str">
        <f t="shared" si="21"/>
        <v>Clean</v>
      </c>
      <c r="L461" s="1" t="b">
        <v>1</v>
      </c>
      <c r="M461" s="1" t="str">
        <f t="shared" si="22"/>
        <v>Valid</v>
      </c>
      <c r="N461">
        <v>18</v>
      </c>
      <c r="O461" s="1" t="str">
        <f t="shared" si="23"/>
        <v>Valid</v>
      </c>
      <c r="P461" t="s">
        <v>11</v>
      </c>
      <c r="Q461" s="1" t="str">
        <v>Radio/Tv</v>
      </c>
      <c r="R461">
        <v>1</v>
      </c>
      <c r="S461" s="2" t="s">
        <v>34</v>
      </c>
    </row>
    <row r="462" spans="1:19" x14ac:dyDescent="0.35">
      <c r="A462">
        <v>37</v>
      </c>
      <c r="B462" s="2" t="s">
        <v>39</v>
      </c>
      <c r="C462" t="s">
        <v>19</v>
      </c>
      <c r="D462" s="1" t="str">
        <v>Male</v>
      </c>
      <c r="E462">
        <v>2</v>
      </c>
      <c r="F462" t="s">
        <v>21</v>
      </c>
      <c r="G462" t="s">
        <v>24</v>
      </c>
      <c r="H462" t="s">
        <v>24</v>
      </c>
      <c r="I462">
        <v>3620</v>
      </c>
      <c r="J462" s="2" t="s">
        <v>43</v>
      </c>
      <c r="K462" s="1" t="str">
        <f t="shared" si="21"/>
        <v>Clean</v>
      </c>
      <c r="L462" s="1" t="b">
        <v>1</v>
      </c>
      <c r="M462" s="1" t="str">
        <f t="shared" si="22"/>
        <v>Valid</v>
      </c>
      <c r="N462">
        <v>36</v>
      </c>
      <c r="O462" s="1" t="str">
        <f t="shared" si="23"/>
        <v>Valid</v>
      </c>
      <c r="P462" t="s">
        <v>13</v>
      </c>
      <c r="Q462" s="1" t="str">
        <v>Furniture/Equipment</v>
      </c>
      <c r="R462">
        <v>1</v>
      </c>
      <c r="S462" s="2" t="s">
        <v>34</v>
      </c>
    </row>
    <row r="463" spans="1:19" x14ac:dyDescent="0.35">
      <c r="A463">
        <v>36</v>
      </c>
      <c r="B463" s="2" t="s">
        <v>39</v>
      </c>
      <c r="C463" t="s">
        <v>19</v>
      </c>
      <c r="D463" s="1" t="str">
        <v>Male</v>
      </c>
      <c r="E463">
        <v>2</v>
      </c>
      <c r="F463" t="s">
        <v>21</v>
      </c>
      <c r="G463" t="s">
        <v>24</v>
      </c>
      <c r="H463" t="s">
        <v>24</v>
      </c>
      <c r="I463">
        <v>1721</v>
      </c>
      <c r="J463" s="2" t="s">
        <v>41</v>
      </c>
      <c r="K463" s="1" t="str">
        <f t="shared" si="21"/>
        <v>Has Spaces</v>
      </c>
      <c r="L463" s="1" t="b">
        <v>1</v>
      </c>
      <c r="M463" s="1" t="str">
        <f t="shared" si="22"/>
        <v>Valid</v>
      </c>
      <c r="N463">
        <v>15</v>
      </c>
      <c r="O463" s="1" t="str">
        <f t="shared" si="23"/>
        <v>Valid</v>
      </c>
      <c r="P463" t="s">
        <v>14</v>
      </c>
      <c r="Q463" s="1" t="str">
        <v>Car</v>
      </c>
      <c r="R463">
        <v>1</v>
      </c>
      <c r="S463" s="2" t="s">
        <v>34</v>
      </c>
    </row>
    <row r="464" spans="1:19" x14ac:dyDescent="0.35">
      <c r="A464">
        <v>34</v>
      </c>
      <c r="B464" s="2" t="s">
        <v>39</v>
      </c>
      <c r="C464" t="s">
        <v>20</v>
      </c>
      <c r="D464" s="1" t="str">
        <v>Female</v>
      </c>
      <c r="E464">
        <v>3</v>
      </c>
      <c r="F464" t="s">
        <v>23</v>
      </c>
      <c r="G464" t="s">
        <v>24</v>
      </c>
      <c r="H464" t="s">
        <v>27</v>
      </c>
      <c r="I464">
        <v>3017</v>
      </c>
      <c r="J464" s="2" t="s">
        <v>43</v>
      </c>
      <c r="K464" s="1" t="str">
        <f t="shared" si="21"/>
        <v>Clean</v>
      </c>
      <c r="L464" s="1" t="b">
        <v>1</v>
      </c>
      <c r="M464" s="1" t="str">
        <f t="shared" si="22"/>
        <v>Valid</v>
      </c>
      <c r="N464">
        <v>12</v>
      </c>
      <c r="O464" s="1" t="str">
        <f t="shared" si="23"/>
        <v>Valid</v>
      </c>
      <c r="P464" t="s">
        <v>13</v>
      </c>
      <c r="Q464" s="1" t="str">
        <v>Furniture/Equipment</v>
      </c>
      <c r="R464">
        <v>1</v>
      </c>
      <c r="S464" s="2" t="s">
        <v>34</v>
      </c>
    </row>
    <row r="465" spans="1:19" x14ac:dyDescent="0.35">
      <c r="A465">
        <v>38</v>
      </c>
      <c r="B465" s="2" t="s">
        <v>39</v>
      </c>
      <c r="C465" t="s">
        <v>19</v>
      </c>
      <c r="D465" s="1" t="str">
        <v>Male</v>
      </c>
      <c r="E465">
        <v>2</v>
      </c>
      <c r="F465" t="s">
        <v>21</v>
      </c>
      <c r="G465" t="s">
        <v>10</v>
      </c>
      <c r="H465" t="s">
        <v>27</v>
      </c>
      <c r="I465">
        <v>754</v>
      </c>
      <c r="J465" s="2" t="s">
        <v>41</v>
      </c>
      <c r="K465" s="1" t="str">
        <f t="shared" si="21"/>
        <v>Has Spaces</v>
      </c>
      <c r="L465" s="1" t="b">
        <v>1</v>
      </c>
      <c r="M465" s="1" t="str">
        <f t="shared" si="22"/>
        <v>Valid</v>
      </c>
      <c r="N465">
        <v>12</v>
      </c>
      <c r="O465" s="1" t="str">
        <f t="shared" si="23"/>
        <v>Valid</v>
      </c>
      <c r="P465" t="s">
        <v>12</v>
      </c>
      <c r="Q465" s="1" t="str">
        <v>Education</v>
      </c>
      <c r="R465">
        <v>1</v>
      </c>
      <c r="S465" s="2" t="s">
        <v>34</v>
      </c>
    </row>
    <row r="466" spans="1:19" x14ac:dyDescent="0.35">
      <c r="A466">
        <v>34</v>
      </c>
      <c r="B466" s="2" t="s">
        <v>39</v>
      </c>
      <c r="C466" t="s">
        <v>19</v>
      </c>
      <c r="D466" s="1" t="str">
        <v>Male</v>
      </c>
      <c r="E466">
        <v>2</v>
      </c>
      <c r="F466" t="s">
        <v>21</v>
      </c>
      <c r="G466" t="s">
        <v>24</v>
      </c>
      <c r="H466" t="s">
        <v>10</v>
      </c>
      <c r="I466">
        <v>1950</v>
      </c>
      <c r="J466" s="2" t="s">
        <v>41</v>
      </c>
      <c r="K466" s="1" t="str">
        <f t="shared" si="21"/>
        <v>Has Spaces</v>
      </c>
      <c r="L466" s="1" t="b">
        <v>1</v>
      </c>
      <c r="M466" s="1" t="str">
        <f t="shared" si="22"/>
        <v>Valid</v>
      </c>
      <c r="N466">
        <v>18</v>
      </c>
      <c r="O466" s="1" t="str">
        <f t="shared" si="23"/>
        <v>Valid</v>
      </c>
      <c r="P466" t="s">
        <v>15</v>
      </c>
      <c r="Q466" s="1" t="str">
        <v>Business</v>
      </c>
      <c r="R466">
        <v>1</v>
      </c>
      <c r="S466" s="2" t="s">
        <v>34</v>
      </c>
    </row>
    <row r="467" spans="1:19" x14ac:dyDescent="0.35">
      <c r="A467">
        <v>63</v>
      </c>
      <c r="B467" s="2" t="s">
        <v>37</v>
      </c>
      <c r="C467" t="s">
        <v>19</v>
      </c>
      <c r="D467" s="1" t="str">
        <v>Male</v>
      </c>
      <c r="E467">
        <v>2</v>
      </c>
      <c r="F467" t="s">
        <v>21</v>
      </c>
      <c r="G467" t="s">
        <v>24</v>
      </c>
      <c r="H467" t="s">
        <v>24</v>
      </c>
      <c r="I467">
        <v>2924</v>
      </c>
      <c r="J467" s="2" t="s">
        <v>43</v>
      </c>
      <c r="K467" s="1" t="str">
        <f t="shared" si="21"/>
        <v>Clean</v>
      </c>
      <c r="L467" s="1" t="b">
        <v>1</v>
      </c>
      <c r="M467" s="1" t="str">
        <f t="shared" si="22"/>
        <v>Valid</v>
      </c>
      <c r="N467">
        <v>24</v>
      </c>
      <c r="O467" s="1" t="str">
        <f t="shared" si="23"/>
        <v>Valid</v>
      </c>
      <c r="P467" t="s">
        <v>14</v>
      </c>
      <c r="Q467" s="1" t="str">
        <v>Car</v>
      </c>
      <c r="R467">
        <v>1</v>
      </c>
      <c r="S467" s="2" t="s">
        <v>34</v>
      </c>
    </row>
    <row r="468" spans="1:19" x14ac:dyDescent="0.35">
      <c r="A468">
        <v>29</v>
      </c>
      <c r="B468" s="2" t="s">
        <v>38</v>
      </c>
      <c r="C468" t="s">
        <v>20</v>
      </c>
      <c r="D468" s="1" t="str">
        <v>Female</v>
      </c>
      <c r="E468">
        <v>1</v>
      </c>
      <c r="F468" t="s">
        <v>23</v>
      </c>
      <c r="G468" t="s">
        <v>24</v>
      </c>
      <c r="H468" t="s">
        <v>24</v>
      </c>
      <c r="I468">
        <v>1659</v>
      </c>
      <c r="J468" s="2" t="s">
        <v>41</v>
      </c>
      <c r="K468" s="1" t="str">
        <f t="shared" si="21"/>
        <v>Has Spaces</v>
      </c>
      <c r="L468" s="1" t="b">
        <v>1</v>
      </c>
      <c r="M468" s="1" t="str">
        <f t="shared" si="22"/>
        <v>Valid</v>
      </c>
      <c r="N468">
        <v>24</v>
      </c>
      <c r="O468" s="1" t="str">
        <f t="shared" si="23"/>
        <v>Valid</v>
      </c>
      <c r="P468" t="s">
        <v>11</v>
      </c>
      <c r="Q468" s="1" t="str">
        <v>Radio/Tv</v>
      </c>
      <c r="R468">
        <v>2</v>
      </c>
      <c r="S468" s="2" t="s">
        <v>35</v>
      </c>
    </row>
    <row r="469" spans="1:19" x14ac:dyDescent="0.35">
      <c r="A469">
        <v>32</v>
      </c>
      <c r="B469" s="2" t="s">
        <v>39</v>
      </c>
      <c r="C469" t="s">
        <v>19</v>
      </c>
      <c r="D469" s="1" t="str">
        <v>Male</v>
      </c>
      <c r="E469">
        <v>2</v>
      </c>
      <c r="F469" t="s">
        <v>21</v>
      </c>
      <c r="G469" t="s">
        <v>10</v>
      </c>
      <c r="H469" t="s">
        <v>10</v>
      </c>
      <c r="I469">
        <v>7238</v>
      </c>
      <c r="J469" s="2" t="s">
        <v>42</v>
      </c>
      <c r="K469" s="1" t="str">
        <f t="shared" si="21"/>
        <v>Clean</v>
      </c>
      <c r="L469" s="1" t="b">
        <v>1</v>
      </c>
      <c r="M469" s="1" t="str">
        <f t="shared" si="22"/>
        <v>Valid</v>
      </c>
      <c r="N469">
        <v>48</v>
      </c>
      <c r="O469" s="1" t="str">
        <f t="shared" si="23"/>
        <v>Valid</v>
      </c>
      <c r="P469" t="s">
        <v>11</v>
      </c>
      <c r="Q469" s="1" t="str">
        <v>Radio/Tv</v>
      </c>
      <c r="R469">
        <v>1</v>
      </c>
      <c r="S469" s="2" t="s">
        <v>34</v>
      </c>
    </row>
    <row r="470" spans="1:19" x14ac:dyDescent="0.35">
      <c r="A470">
        <v>26</v>
      </c>
      <c r="B470" s="2" t="s">
        <v>38</v>
      </c>
      <c r="C470" t="s">
        <v>20</v>
      </c>
      <c r="D470" s="1" t="str">
        <v>Female</v>
      </c>
      <c r="E470">
        <v>2</v>
      </c>
      <c r="F470" t="s">
        <v>21</v>
      </c>
      <c r="G470" t="s">
        <v>24</v>
      </c>
      <c r="H470" t="s">
        <v>10</v>
      </c>
      <c r="I470">
        <v>2764</v>
      </c>
      <c r="J470" s="2" t="s">
        <v>43</v>
      </c>
      <c r="K470" s="1" t="str">
        <f t="shared" si="21"/>
        <v>Clean</v>
      </c>
      <c r="L470" s="1" t="b">
        <v>1</v>
      </c>
      <c r="M470" s="1" t="str">
        <f t="shared" si="22"/>
        <v>Valid</v>
      </c>
      <c r="N470">
        <v>33</v>
      </c>
      <c r="O470" s="1" t="str">
        <f t="shared" si="23"/>
        <v>Valid</v>
      </c>
      <c r="P470" t="s">
        <v>15</v>
      </c>
      <c r="Q470" s="1" t="str">
        <v>Business</v>
      </c>
      <c r="R470">
        <v>1</v>
      </c>
      <c r="S470" s="2" t="s">
        <v>34</v>
      </c>
    </row>
    <row r="471" spans="1:19" x14ac:dyDescent="0.35">
      <c r="A471">
        <v>35</v>
      </c>
      <c r="B471" s="2" t="s">
        <v>39</v>
      </c>
      <c r="C471" t="s">
        <v>19</v>
      </c>
      <c r="D471" s="1" t="str">
        <v>Male</v>
      </c>
      <c r="E471">
        <v>1</v>
      </c>
      <c r="F471" t="s">
        <v>21</v>
      </c>
      <c r="G471" t="s">
        <v>24</v>
      </c>
      <c r="H471" t="s">
        <v>10</v>
      </c>
      <c r="I471">
        <v>4679</v>
      </c>
      <c r="J471" s="2" t="s">
        <v>43</v>
      </c>
      <c r="K471" s="1" t="str">
        <f t="shared" si="21"/>
        <v>Clean</v>
      </c>
      <c r="L471" s="1" t="b">
        <v>1</v>
      </c>
      <c r="M471" s="1" t="str">
        <f t="shared" si="22"/>
        <v>Valid</v>
      </c>
      <c r="N471">
        <v>24</v>
      </c>
      <c r="O471" s="1" t="str">
        <f t="shared" si="23"/>
        <v>Valid</v>
      </c>
      <c r="P471" t="s">
        <v>14</v>
      </c>
      <c r="Q471" s="1" t="str">
        <v>Car</v>
      </c>
      <c r="R471">
        <v>1</v>
      </c>
      <c r="S471" s="2" t="s">
        <v>34</v>
      </c>
    </row>
    <row r="472" spans="1:19" x14ac:dyDescent="0.35">
      <c r="A472">
        <v>22</v>
      </c>
      <c r="B472" s="2" t="s">
        <v>38</v>
      </c>
      <c r="C472" t="s">
        <v>19</v>
      </c>
      <c r="D472" s="1" t="str">
        <v>Male</v>
      </c>
      <c r="E472">
        <v>2</v>
      </c>
      <c r="F472" t="s">
        <v>23</v>
      </c>
      <c r="G472" t="s">
        <v>27</v>
      </c>
      <c r="H472" t="s">
        <v>27</v>
      </c>
      <c r="I472">
        <v>3092</v>
      </c>
      <c r="J472" s="2" t="s">
        <v>43</v>
      </c>
      <c r="K472" s="1" t="str">
        <f t="shared" si="21"/>
        <v>Clean</v>
      </c>
      <c r="L472" s="1" t="b">
        <v>1</v>
      </c>
      <c r="M472" s="1" t="str">
        <f t="shared" si="22"/>
        <v>Valid</v>
      </c>
      <c r="N472">
        <v>24</v>
      </c>
      <c r="O472" s="1" t="str">
        <f t="shared" si="23"/>
        <v>Valid</v>
      </c>
      <c r="P472" t="s">
        <v>11</v>
      </c>
      <c r="Q472" s="1" t="str">
        <v>Radio/Tv</v>
      </c>
      <c r="R472">
        <v>2</v>
      </c>
      <c r="S472" s="2" t="s">
        <v>35</v>
      </c>
    </row>
    <row r="473" spans="1:19" x14ac:dyDescent="0.35">
      <c r="A473">
        <v>23</v>
      </c>
      <c r="B473" s="2" t="s">
        <v>38</v>
      </c>
      <c r="C473" t="s">
        <v>20</v>
      </c>
      <c r="D473" s="1" t="str">
        <v>Female</v>
      </c>
      <c r="E473">
        <v>2</v>
      </c>
      <c r="F473" t="s">
        <v>21</v>
      </c>
      <c r="G473" t="s">
        <v>24</v>
      </c>
      <c r="H473" t="s">
        <v>24</v>
      </c>
      <c r="I473">
        <v>448</v>
      </c>
      <c r="J473" s="2" t="s">
        <v>41</v>
      </c>
      <c r="K473" s="1" t="str">
        <f t="shared" si="21"/>
        <v>Has Spaces</v>
      </c>
      <c r="L473" s="1" t="b">
        <v>1</v>
      </c>
      <c r="M473" s="1" t="str">
        <f t="shared" si="22"/>
        <v>Valid</v>
      </c>
      <c r="N473">
        <v>6</v>
      </c>
      <c r="O473" s="1" t="str">
        <f t="shared" si="23"/>
        <v>Valid</v>
      </c>
      <c r="P473" t="s">
        <v>12</v>
      </c>
      <c r="Q473" s="1" t="str">
        <v>Education</v>
      </c>
      <c r="R473">
        <v>2</v>
      </c>
      <c r="S473" s="2" t="s">
        <v>35</v>
      </c>
    </row>
    <row r="474" spans="1:19" x14ac:dyDescent="0.35">
      <c r="A474">
        <v>28</v>
      </c>
      <c r="B474" s="2" t="s">
        <v>38</v>
      </c>
      <c r="C474" t="s">
        <v>19</v>
      </c>
      <c r="D474" s="1" t="str">
        <v>Male</v>
      </c>
      <c r="E474">
        <v>1</v>
      </c>
      <c r="F474" t="s">
        <v>21</v>
      </c>
      <c r="G474" t="s">
        <v>24</v>
      </c>
      <c r="H474" t="s">
        <v>24</v>
      </c>
      <c r="I474">
        <v>654</v>
      </c>
      <c r="J474" s="2" t="s">
        <v>41</v>
      </c>
      <c r="K474" s="1" t="str">
        <f t="shared" si="21"/>
        <v>Has Spaces</v>
      </c>
      <c r="L474" s="1" t="b">
        <v>1</v>
      </c>
      <c r="M474" s="1" t="str">
        <f t="shared" si="22"/>
        <v>Valid</v>
      </c>
      <c r="N474">
        <v>9</v>
      </c>
      <c r="O474" s="1" t="str">
        <f t="shared" si="23"/>
        <v>Valid</v>
      </c>
      <c r="P474" t="s">
        <v>14</v>
      </c>
      <c r="Q474" s="1" t="str">
        <v>Car</v>
      </c>
      <c r="R474">
        <v>2</v>
      </c>
      <c r="S474" s="2" t="s">
        <v>35</v>
      </c>
    </row>
    <row r="475" spans="1:19" x14ac:dyDescent="0.35">
      <c r="A475">
        <v>36</v>
      </c>
      <c r="B475" s="2" t="s">
        <v>39</v>
      </c>
      <c r="C475" t="s">
        <v>19</v>
      </c>
      <c r="D475" s="1" t="str">
        <v>Male</v>
      </c>
      <c r="E475">
        <v>3</v>
      </c>
      <c r="F475" t="s">
        <v>21</v>
      </c>
      <c r="G475" t="s">
        <v>10</v>
      </c>
      <c r="H475" t="s">
        <v>10</v>
      </c>
      <c r="I475">
        <v>1238</v>
      </c>
      <c r="J475" s="2" t="s">
        <v>41</v>
      </c>
      <c r="K475" s="1" t="str">
        <f t="shared" si="21"/>
        <v>Has Spaces</v>
      </c>
      <c r="L475" s="1" t="b">
        <v>1</v>
      </c>
      <c r="M475" s="1" t="str">
        <f t="shared" si="22"/>
        <v>Valid</v>
      </c>
      <c r="N475">
        <v>6</v>
      </c>
      <c r="O475" s="1" t="str">
        <f t="shared" si="23"/>
        <v>Valid</v>
      </c>
      <c r="P475" t="s">
        <v>12</v>
      </c>
      <c r="Q475" s="1" t="str">
        <v>Education</v>
      </c>
      <c r="R475">
        <v>1</v>
      </c>
      <c r="S475" s="2" t="s">
        <v>34</v>
      </c>
    </row>
    <row r="476" spans="1:19" x14ac:dyDescent="0.35">
      <c r="A476">
        <v>33</v>
      </c>
      <c r="B476" s="2" t="s">
        <v>39</v>
      </c>
      <c r="C476" t="s">
        <v>19</v>
      </c>
      <c r="D476" s="1" t="str">
        <v>Male</v>
      </c>
      <c r="E476">
        <v>2</v>
      </c>
      <c r="F476" t="s">
        <v>21</v>
      </c>
      <c r="G476" t="s">
        <v>24</v>
      </c>
      <c r="H476" t="s">
        <v>27</v>
      </c>
      <c r="I476">
        <v>1245</v>
      </c>
      <c r="J476" s="2" t="s">
        <v>41</v>
      </c>
      <c r="K476" s="1" t="str">
        <f t="shared" si="21"/>
        <v>Has Spaces</v>
      </c>
      <c r="L476" s="1" t="b">
        <v>1</v>
      </c>
      <c r="M476" s="1" t="str">
        <f t="shared" si="22"/>
        <v>Valid</v>
      </c>
      <c r="N476">
        <v>18</v>
      </c>
      <c r="O476" s="1" t="str">
        <f t="shared" si="23"/>
        <v>Valid</v>
      </c>
      <c r="P476" t="s">
        <v>11</v>
      </c>
      <c r="Q476" s="1" t="str">
        <v>Radio/Tv</v>
      </c>
      <c r="R476">
        <v>2</v>
      </c>
      <c r="S476" s="2" t="s">
        <v>35</v>
      </c>
    </row>
    <row r="477" spans="1:19" x14ac:dyDescent="0.35">
      <c r="A477">
        <v>26</v>
      </c>
      <c r="B477" s="2" t="s">
        <v>38</v>
      </c>
      <c r="C477" t="s">
        <v>20</v>
      </c>
      <c r="D477" s="1" t="str">
        <v>Female</v>
      </c>
      <c r="E477">
        <v>2</v>
      </c>
      <c r="F477" t="s">
        <v>23</v>
      </c>
      <c r="G477" t="s">
        <v>24</v>
      </c>
      <c r="H477" t="s">
        <v>24</v>
      </c>
      <c r="I477">
        <v>3114</v>
      </c>
      <c r="J477" s="2" t="s">
        <v>43</v>
      </c>
      <c r="K477" s="1" t="str">
        <f t="shared" si="21"/>
        <v>Clean</v>
      </c>
      <c r="L477" s="1" t="b">
        <v>1</v>
      </c>
      <c r="M477" s="1" t="str">
        <f t="shared" si="22"/>
        <v>Valid</v>
      </c>
      <c r="N477">
        <v>18</v>
      </c>
      <c r="O477" s="1" t="str">
        <f t="shared" si="23"/>
        <v>Valid</v>
      </c>
      <c r="P477" t="s">
        <v>13</v>
      </c>
      <c r="Q477" s="1" t="str">
        <v>Furniture/Equipment</v>
      </c>
      <c r="R477">
        <v>2</v>
      </c>
      <c r="S477" s="2" t="s">
        <v>35</v>
      </c>
    </row>
    <row r="478" spans="1:19" x14ac:dyDescent="0.35">
      <c r="A478">
        <v>24</v>
      </c>
      <c r="B478" s="2" t="s">
        <v>38</v>
      </c>
      <c r="C478" t="s">
        <v>19</v>
      </c>
      <c r="D478" s="1" t="str">
        <v>Male</v>
      </c>
      <c r="E478">
        <v>2</v>
      </c>
      <c r="F478" t="s">
        <v>21</v>
      </c>
      <c r="G478" t="s">
        <v>25</v>
      </c>
      <c r="H478" t="s">
        <v>10</v>
      </c>
      <c r="I478">
        <v>2569</v>
      </c>
      <c r="J478" s="2" t="s">
        <v>43</v>
      </c>
      <c r="K478" s="1" t="str">
        <f t="shared" si="21"/>
        <v>Clean</v>
      </c>
      <c r="L478" s="1" t="b">
        <v>1</v>
      </c>
      <c r="M478" s="1" t="str">
        <f t="shared" si="22"/>
        <v>Valid</v>
      </c>
      <c r="N478">
        <v>39</v>
      </c>
      <c r="O478" s="1" t="str">
        <f t="shared" si="23"/>
        <v>Valid</v>
      </c>
      <c r="P478" t="s">
        <v>14</v>
      </c>
      <c r="Q478" s="1" t="str">
        <v>Car</v>
      </c>
      <c r="R478">
        <v>1</v>
      </c>
      <c r="S478" s="2" t="s">
        <v>34</v>
      </c>
    </row>
    <row r="479" spans="1:19" x14ac:dyDescent="0.35">
      <c r="A479">
        <v>25</v>
      </c>
      <c r="B479" s="2" t="s">
        <v>38</v>
      </c>
      <c r="C479" t="s">
        <v>19</v>
      </c>
      <c r="D479" s="1" t="str">
        <v>Male</v>
      </c>
      <c r="E479">
        <v>2</v>
      </c>
      <c r="F479" t="s">
        <v>21</v>
      </c>
      <c r="G479" t="s">
        <v>24</v>
      </c>
      <c r="H479" t="s">
        <v>26</v>
      </c>
      <c r="I479">
        <v>5152</v>
      </c>
      <c r="J479" s="2" t="s">
        <v>42</v>
      </c>
      <c r="K479" s="1" t="str">
        <f t="shared" si="21"/>
        <v>Clean</v>
      </c>
      <c r="L479" s="1" t="b">
        <v>1</v>
      </c>
      <c r="M479" s="1" t="str">
        <f t="shared" si="22"/>
        <v>Valid</v>
      </c>
      <c r="N479">
        <v>24</v>
      </c>
      <c r="O479" s="1" t="str">
        <f t="shared" si="23"/>
        <v>Valid</v>
      </c>
      <c r="P479" t="s">
        <v>11</v>
      </c>
      <c r="Q479" s="1" t="str">
        <v>Radio/Tv</v>
      </c>
      <c r="R479">
        <v>1</v>
      </c>
      <c r="S479" s="2" t="s">
        <v>34</v>
      </c>
    </row>
    <row r="480" spans="1:19" x14ac:dyDescent="0.35">
      <c r="A480">
        <v>39</v>
      </c>
      <c r="B480" s="2" t="s">
        <v>39</v>
      </c>
      <c r="C480" t="s">
        <v>19</v>
      </c>
      <c r="D480" s="1" t="str">
        <v>Male</v>
      </c>
      <c r="E480">
        <v>1</v>
      </c>
      <c r="F480" t="s">
        <v>21</v>
      </c>
      <c r="G480" t="s">
        <v>27</v>
      </c>
      <c r="H480" t="s">
        <v>27</v>
      </c>
      <c r="I480">
        <v>1037</v>
      </c>
      <c r="J480" s="2" t="s">
        <v>41</v>
      </c>
      <c r="K480" s="1" t="str">
        <f t="shared" si="21"/>
        <v>Has Spaces</v>
      </c>
      <c r="L480" s="1" t="b">
        <v>1</v>
      </c>
      <c r="M480" s="1" t="str">
        <f t="shared" si="22"/>
        <v>Valid</v>
      </c>
      <c r="N480">
        <v>12</v>
      </c>
      <c r="O480" s="1" t="str">
        <f t="shared" si="23"/>
        <v>Valid</v>
      </c>
      <c r="P480" t="s">
        <v>15</v>
      </c>
      <c r="Q480" s="1" t="str">
        <v>Business</v>
      </c>
      <c r="R480">
        <v>1</v>
      </c>
      <c r="S480" s="2" t="s">
        <v>34</v>
      </c>
    </row>
    <row r="481" spans="1:19" x14ac:dyDescent="0.35">
      <c r="A481">
        <v>44</v>
      </c>
      <c r="B481" s="2" t="s">
        <v>39</v>
      </c>
      <c r="C481" t="s">
        <v>19</v>
      </c>
      <c r="D481" s="1" t="str">
        <v>Male</v>
      </c>
      <c r="E481">
        <v>2</v>
      </c>
      <c r="F481" t="s">
        <v>21</v>
      </c>
      <c r="G481" t="s">
        <v>24</v>
      </c>
      <c r="H481" t="s">
        <v>24</v>
      </c>
      <c r="I481">
        <v>1478</v>
      </c>
      <c r="J481" s="2" t="s">
        <v>41</v>
      </c>
      <c r="K481" s="1" t="str">
        <f t="shared" si="21"/>
        <v>Has Spaces</v>
      </c>
      <c r="L481" s="1" t="b">
        <v>1</v>
      </c>
      <c r="M481" s="1" t="str">
        <f t="shared" si="22"/>
        <v>Valid</v>
      </c>
      <c r="N481">
        <v>15</v>
      </c>
      <c r="O481" s="1" t="str">
        <f t="shared" si="23"/>
        <v>Valid</v>
      </c>
      <c r="P481" t="s">
        <v>13</v>
      </c>
      <c r="Q481" s="1" t="str">
        <v>Furniture/Equipment</v>
      </c>
      <c r="R481">
        <v>1</v>
      </c>
      <c r="S481" s="2" t="s">
        <v>34</v>
      </c>
    </row>
    <row r="482" spans="1:19" x14ac:dyDescent="0.35">
      <c r="A482">
        <v>23</v>
      </c>
      <c r="B482" s="2" t="s">
        <v>38</v>
      </c>
      <c r="C482" t="s">
        <v>20</v>
      </c>
      <c r="D482" s="1" t="str">
        <v>Female</v>
      </c>
      <c r="E482">
        <v>1</v>
      </c>
      <c r="F482" t="s">
        <v>21</v>
      </c>
      <c r="G482" t="s">
        <v>24</v>
      </c>
      <c r="H482" t="s">
        <v>27</v>
      </c>
      <c r="I482">
        <v>3573</v>
      </c>
      <c r="J482" s="2" t="s">
        <v>43</v>
      </c>
      <c r="K482" s="1" t="str">
        <f t="shared" si="21"/>
        <v>Clean</v>
      </c>
      <c r="L482" s="1" t="b">
        <v>1</v>
      </c>
      <c r="M482" s="1" t="str">
        <f t="shared" si="22"/>
        <v>Valid</v>
      </c>
      <c r="N482">
        <v>12</v>
      </c>
      <c r="O482" s="1" t="str">
        <f t="shared" si="23"/>
        <v>Valid</v>
      </c>
      <c r="P482" t="s">
        <v>11</v>
      </c>
      <c r="Q482" s="1" t="str">
        <v>Radio/Tv</v>
      </c>
      <c r="R482">
        <v>1</v>
      </c>
      <c r="S482" s="2" t="s">
        <v>34</v>
      </c>
    </row>
    <row r="483" spans="1:19" x14ac:dyDescent="0.35">
      <c r="A483">
        <v>26</v>
      </c>
      <c r="B483" s="2" t="s">
        <v>38</v>
      </c>
      <c r="C483" t="s">
        <v>19</v>
      </c>
      <c r="D483" s="1" t="str">
        <v>Male</v>
      </c>
      <c r="E483">
        <v>2</v>
      </c>
      <c r="F483" t="s">
        <v>21</v>
      </c>
      <c r="G483" t="s">
        <v>24</v>
      </c>
      <c r="H483" t="s">
        <v>27</v>
      </c>
      <c r="I483">
        <v>1201</v>
      </c>
      <c r="J483" s="2" t="s">
        <v>41</v>
      </c>
      <c r="K483" s="1" t="str">
        <f t="shared" si="21"/>
        <v>Has Spaces</v>
      </c>
      <c r="L483" s="1" t="b">
        <v>1</v>
      </c>
      <c r="M483" s="1" t="str">
        <f t="shared" si="22"/>
        <v>Valid</v>
      </c>
      <c r="N483">
        <v>24</v>
      </c>
      <c r="O483" s="1" t="str">
        <f t="shared" si="23"/>
        <v>Valid</v>
      </c>
      <c r="P483" t="s">
        <v>14</v>
      </c>
      <c r="Q483" s="1" t="str">
        <v>Car</v>
      </c>
      <c r="R483">
        <v>1</v>
      </c>
      <c r="S483" s="2" t="s">
        <v>34</v>
      </c>
    </row>
    <row r="484" spans="1:19" x14ac:dyDescent="0.35">
      <c r="A484">
        <v>57</v>
      </c>
      <c r="B484" s="2" t="s">
        <v>37</v>
      </c>
      <c r="C484" t="s">
        <v>20</v>
      </c>
      <c r="D484" s="1" t="str">
        <v>Female</v>
      </c>
      <c r="E484">
        <v>2</v>
      </c>
      <c r="F484" t="s">
        <v>23</v>
      </c>
      <c r="G484" t="s">
        <v>26</v>
      </c>
      <c r="H484" t="s">
        <v>24</v>
      </c>
      <c r="I484">
        <v>3622</v>
      </c>
      <c r="J484" s="2" t="s">
        <v>43</v>
      </c>
      <c r="K484" s="1" t="str">
        <f t="shared" si="21"/>
        <v>Clean</v>
      </c>
      <c r="L484" s="1" t="b">
        <v>1</v>
      </c>
      <c r="M484" s="1" t="str">
        <f t="shared" si="22"/>
        <v>Valid</v>
      </c>
      <c r="N484">
        <v>30</v>
      </c>
      <c r="O484" s="1" t="str">
        <f t="shared" si="23"/>
        <v>Valid</v>
      </c>
      <c r="P484" t="s">
        <v>13</v>
      </c>
      <c r="Q484" s="1" t="str">
        <v>Furniture/Equipment</v>
      </c>
      <c r="R484">
        <v>1</v>
      </c>
      <c r="S484" s="2" t="s">
        <v>34</v>
      </c>
    </row>
    <row r="485" spans="1:19" x14ac:dyDescent="0.35">
      <c r="A485">
        <v>30</v>
      </c>
      <c r="B485" s="2" t="s">
        <v>39</v>
      </c>
      <c r="C485" t="s">
        <v>20</v>
      </c>
      <c r="D485" s="1" t="str">
        <v>Female</v>
      </c>
      <c r="E485">
        <v>2</v>
      </c>
      <c r="F485" t="s">
        <v>21</v>
      </c>
      <c r="G485" t="s">
        <v>26</v>
      </c>
      <c r="H485" t="s">
        <v>10</v>
      </c>
      <c r="I485">
        <v>960</v>
      </c>
      <c r="J485" s="2" t="s">
        <v>41</v>
      </c>
      <c r="K485" s="1" t="str">
        <f t="shared" si="21"/>
        <v>Has Spaces</v>
      </c>
      <c r="L485" s="1" t="b">
        <v>1</v>
      </c>
      <c r="M485" s="1" t="str">
        <f t="shared" si="22"/>
        <v>Valid</v>
      </c>
      <c r="N485">
        <v>15</v>
      </c>
      <c r="O485" s="1" t="str">
        <f t="shared" si="23"/>
        <v>Valid</v>
      </c>
      <c r="P485" t="s">
        <v>13</v>
      </c>
      <c r="Q485" s="1" t="str">
        <v>Furniture/Equipment</v>
      </c>
      <c r="R485">
        <v>1</v>
      </c>
      <c r="S485" s="2" t="s">
        <v>34</v>
      </c>
    </row>
    <row r="486" spans="1:19" x14ac:dyDescent="0.35">
      <c r="A486">
        <v>44</v>
      </c>
      <c r="B486" s="2" t="s">
        <v>39</v>
      </c>
      <c r="C486" t="s">
        <v>19</v>
      </c>
      <c r="D486" s="1" t="str">
        <v>Male</v>
      </c>
      <c r="E486">
        <v>2</v>
      </c>
      <c r="F486" t="s">
        <v>21</v>
      </c>
      <c r="G486" t="s">
        <v>25</v>
      </c>
      <c r="H486" t="s">
        <v>10</v>
      </c>
      <c r="I486">
        <v>1163</v>
      </c>
      <c r="J486" s="2" t="s">
        <v>41</v>
      </c>
      <c r="K486" s="1" t="str">
        <f t="shared" si="21"/>
        <v>Has Spaces</v>
      </c>
      <c r="L486" s="1" t="b">
        <v>1</v>
      </c>
      <c r="M486" s="1" t="str">
        <f t="shared" si="22"/>
        <v>Valid</v>
      </c>
      <c r="N486">
        <v>12</v>
      </c>
      <c r="O486" s="1" t="str">
        <f t="shared" si="23"/>
        <v>Valid</v>
      </c>
      <c r="P486" t="s">
        <v>14</v>
      </c>
      <c r="Q486" s="1" t="str">
        <v>Car</v>
      </c>
      <c r="R486">
        <v>1</v>
      </c>
      <c r="S486" s="2" t="s">
        <v>34</v>
      </c>
    </row>
    <row r="487" spans="1:19" x14ac:dyDescent="0.35">
      <c r="A487">
        <v>47</v>
      </c>
      <c r="B487" s="2" t="s">
        <v>39</v>
      </c>
      <c r="C487" t="s">
        <v>19</v>
      </c>
      <c r="D487" s="1" t="str">
        <v>Male</v>
      </c>
      <c r="E487">
        <v>3</v>
      </c>
      <c r="F487" t="s">
        <v>21</v>
      </c>
      <c r="G487" t="s">
        <v>24</v>
      </c>
      <c r="H487" t="s">
        <v>27</v>
      </c>
      <c r="I487">
        <v>1209</v>
      </c>
      <c r="J487" s="2" t="s">
        <v>41</v>
      </c>
      <c r="K487" s="1" t="str">
        <f t="shared" si="21"/>
        <v>Has Spaces</v>
      </c>
      <c r="L487" s="1" t="b">
        <v>1</v>
      </c>
      <c r="M487" s="1" t="str">
        <f t="shared" si="22"/>
        <v>Valid</v>
      </c>
      <c r="N487">
        <v>6</v>
      </c>
      <c r="O487" s="1" t="str">
        <f t="shared" si="23"/>
        <v>Valid</v>
      </c>
      <c r="P487" t="s">
        <v>14</v>
      </c>
      <c r="Q487" s="1" t="str">
        <v>Car</v>
      </c>
      <c r="R487">
        <v>2</v>
      </c>
      <c r="S487" s="2" t="s">
        <v>35</v>
      </c>
    </row>
    <row r="488" spans="1:19" x14ac:dyDescent="0.35">
      <c r="A488">
        <v>52</v>
      </c>
      <c r="B488" s="2" t="s">
        <v>37</v>
      </c>
      <c r="C488" t="s">
        <v>19</v>
      </c>
      <c r="D488" s="1" t="str">
        <v>Male</v>
      </c>
      <c r="E488">
        <v>2</v>
      </c>
      <c r="F488" t="s">
        <v>21</v>
      </c>
      <c r="G488" t="s">
        <v>24</v>
      </c>
      <c r="H488" t="s">
        <v>10</v>
      </c>
      <c r="I488">
        <v>3077</v>
      </c>
      <c r="J488" s="2" t="s">
        <v>43</v>
      </c>
      <c r="K488" s="1" t="str">
        <f t="shared" si="21"/>
        <v>Clean</v>
      </c>
      <c r="L488" s="1" t="b">
        <v>1</v>
      </c>
      <c r="M488" s="1" t="str">
        <f t="shared" si="22"/>
        <v>Valid</v>
      </c>
      <c r="N488">
        <v>12</v>
      </c>
      <c r="O488" s="1" t="str">
        <f t="shared" si="23"/>
        <v>Valid</v>
      </c>
      <c r="P488" t="s">
        <v>11</v>
      </c>
      <c r="Q488" s="1" t="str">
        <v>Radio/Tv</v>
      </c>
      <c r="R488">
        <v>1</v>
      </c>
      <c r="S488" s="2" t="s">
        <v>34</v>
      </c>
    </row>
    <row r="489" spans="1:19" x14ac:dyDescent="0.35">
      <c r="A489">
        <v>62</v>
      </c>
      <c r="B489" s="2" t="s">
        <v>37</v>
      </c>
      <c r="C489" t="s">
        <v>20</v>
      </c>
      <c r="D489" s="1" t="str">
        <v>Female</v>
      </c>
      <c r="E489">
        <v>2</v>
      </c>
      <c r="F489" t="s">
        <v>22</v>
      </c>
      <c r="G489" t="s">
        <v>24</v>
      </c>
      <c r="H489" t="s">
        <v>10</v>
      </c>
      <c r="I489">
        <v>3757</v>
      </c>
      <c r="J489" s="2" t="s">
        <v>43</v>
      </c>
      <c r="K489" s="1" t="str">
        <f t="shared" si="21"/>
        <v>Clean</v>
      </c>
      <c r="L489" s="1" t="b">
        <v>1</v>
      </c>
      <c r="M489" s="1" t="str">
        <f t="shared" si="22"/>
        <v>Valid</v>
      </c>
      <c r="N489">
        <v>24</v>
      </c>
      <c r="O489" s="1" t="str">
        <f t="shared" si="23"/>
        <v>Valid</v>
      </c>
      <c r="P489" t="s">
        <v>14</v>
      </c>
      <c r="Q489" s="1" t="str">
        <v>Car</v>
      </c>
      <c r="R489">
        <v>1</v>
      </c>
      <c r="S489" s="2" t="s">
        <v>34</v>
      </c>
    </row>
    <row r="490" spans="1:19" x14ac:dyDescent="0.35">
      <c r="A490">
        <v>35</v>
      </c>
      <c r="B490" s="2" t="s">
        <v>39</v>
      </c>
      <c r="C490" t="s">
        <v>19</v>
      </c>
      <c r="D490" s="1" t="str">
        <v>Male</v>
      </c>
      <c r="E490">
        <v>1</v>
      </c>
      <c r="F490" t="s">
        <v>23</v>
      </c>
      <c r="G490" t="s">
        <v>27</v>
      </c>
      <c r="H490" t="s">
        <v>10</v>
      </c>
      <c r="I490">
        <v>1418</v>
      </c>
      <c r="J490" s="2" t="s">
        <v>41</v>
      </c>
      <c r="K490" s="1" t="str">
        <f t="shared" si="21"/>
        <v>Has Spaces</v>
      </c>
      <c r="L490" s="1" t="b">
        <v>1</v>
      </c>
      <c r="M490" s="1" t="str">
        <f t="shared" si="22"/>
        <v>Valid</v>
      </c>
      <c r="N490">
        <v>10</v>
      </c>
      <c r="O490" s="1" t="str">
        <f t="shared" si="23"/>
        <v>Valid</v>
      </c>
      <c r="P490" t="s">
        <v>14</v>
      </c>
      <c r="Q490" s="1" t="str">
        <v>Car</v>
      </c>
      <c r="R490">
        <v>1</v>
      </c>
      <c r="S490" s="2" t="s">
        <v>34</v>
      </c>
    </row>
    <row r="491" spans="1:19" x14ac:dyDescent="0.35">
      <c r="A491">
        <v>26</v>
      </c>
      <c r="B491" s="2" t="s">
        <v>38</v>
      </c>
      <c r="C491" t="s">
        <v>19</v>
      </c>
      <c r="D491" s="1" t="str">
        <v>Male</v>
      </c>
      <c r="E491">
        <v>2</v>
      </c>
      <c r="F491" t="s">
        <v>23</v>
      </c>
      <c r="G491" t="s">
        <v>24</v>
      </c>
      <c r="H491" t="s">
        <v>10</v>
      </c>
      <c r="I491">
        <v>3518</v>
      </c>
      <c r="J491" s="2" t="s">
        <v>43</v>
      </c>
      <c r="K491" s="1" t="str">
        <f t="shared" si="21"/>
        <v>Clean</v>
      </c>
      <c r="L491" s="1" t="b">
        <v>1</v>
      </c>
      <c r="M491" s="1" t="str">
        <f t="shared" si="22"/>
        <v>Valid</v>
      </c>
      <c r="N491">
        <v>6</v>
      </c>
      <c r="O491" s="1" t="str">
        <f t="shared" si="23"/>
        <v>Valid</v>
      </c>
      <c r="P491" t="s">
        <v>14</v>
      </c>
      <c r="Q491" s="1" t="str">
        <v>Car</v>
      </c>
      <c r="R491">
        <v>1</v>
      </c>
      <c r="S491" s="2" t="s">
        <v>34</v>
      </c>
    </row>
    <row r="492" spans="1:19" x14ac:dyDescent="0.35">
      <c r="A492">
        <v>26</v>
      </c>
      <c r="B492" s="2" t="s">
        <v>38</v>
      </c>
      <c r="C492" t="s">
        <v>19</v>
      </c>
      <c r="D492" s="1" t="str">
        <v>Male</v>
      </c>
      <c r="E492">
        <v>2</v>
      </c>
      <c r="F492" t="s">
        <v>21</v>
      </c>
      <c r="G492" t="s">
        <v>24</v>
      </c>
      <c r="H492" t="s">
        <v>10</v>
      </c>
      <c r="I492">
        <v>1934</v>
      </c>
      <c r="J492" s="2" t="s">
        <v>41</v>
      </c>
      <c r="K492" s="1" t="str">
        <f t="shared" si="21"/>
        <v>Has Spaces</v>
      </c>
      <c r="L492" s="1" t="b">
        <v>1</v>
      </c>
      <c r="M492" s="1" t="str">
        <f t="shared" si="22"/>
        <v>Valid</v>
      </c>
      <c r="N492">
        <v>12</v>
      </c>
      <c r="O492" s="1" t="str">
        <f t="shared" si="23"/>
        <v>Valid</v>
      </c>
      <c r="P492" t="s">
        <v>11</v>
      </c>
      <c r="Q492" s="1" t="str">
        <v>Radio/Tv</v>
      </c>
      <c r="R492">
        <v>1</v>
      </c>
      <c r="S492" s="2" t="s">
        <v>34</v>
      </c>
    </row>
    <row r="493" spans="1:19" x14ac:dyDescent="0.35">
      <c r="A493">
        <v>42</v>
      </c>
      <c r="B493" s="2" t="s">
        <v>39</v>
      </c>
      <c r="C493" t="s">
        <v>20</v>
      </c>
      <c r="D493" s="1" t="str">
        <v>Female</v>
      </c>
      <c r="E493">
        <v>3</v>
      </c>
      <c r="F493" t="s">
        <v>22</v>
      </c>
      <c r="G493" t="s">
        <v>24</v>
      </c>
      <c r="H493" t="s">
        <v>27</v>
      </c>
      <c r="I493">
        <v>8318</v>
      </c>
      <c r="J493" s="2" t="s">
        <v>42</v>
      </c>
      <c r="K493" s="1" t="str">
        <f t="shared" si="21"/>
        <v>Clean</v>
      </c>
      <c r="L493" s="1" t="b">
        <v>1</v>
      </c>
      <c r="M493" s="1" t="str">
        <f t="shared" si="22"/>
        <v>Valid</v>
      </c>
      <c r="N493">
        <v>27</v>
      </c>
      <c r="O493" s="1" t="str">
        <f t="shared" si="23"/>
        <v>Valid</v>
      </c>
      <c r="P493" t="s">
        <v>15</v>
      </c>
      <c r="Q493" s="1" t="str">
        <v>Business</v>
      </c>
      <c r="R493">
        <v>2</v>
      </c>
      <c r="S493" s="2" t="s">
        <v>35</v>
      </c>
    </row>
    <row r="494" spans="1:19" x14ac:dyDescent="0.35">
      <c r="A494">
        <v>27</v>
      </c>
      <c r="B494" s="2" t="s">
        <v>38</v>
      </c>
      <c r="C494" t="s">
        <v>20</v>
      </c>
      <c r="D494" s="1" t="str">
        <v>Female</v>
      </c>
      <c r="E494">
        <v>2</v>
      </c>
      <c r="F494" t="s">
        <v>21</v>
      </c>
      <c r="G494" t="s">
        <v>27</v>
      </c>
      <c r="H494" t="s">
        <v>10</v>
      </c>
      <c r="I494">
        <v>1237</v>
      </c>
      <c r="J494" s="2" t="s">
        <v>41</v>
      </c>
      <c r="K494" s="1" t="str">
        <f t="shared" si="21"/>
        <v>Has Spaces</v>
      </c>
      <c r="L494" s="1" t="b">
        <v>1</v>
      </c>
      <c r="M494" s="1" t="str">
        <f t="shared" si="22"/>
        <v>Valid</v>
      </c>
      <c r="N494">
        <v>6</v>
      </c>
      <c r="O494" s="1" t="str">
        <f t="shared" si="23"/>
        <v>Valid</v>
      </c>
      <c r="P494" t="s">
        <v>11</v>
      </c>
      <c r="Q494" s="1" t="str">
        <v>Radio/Tv</v>
      </c>
      <c r="R494">
        <v>1</v>
      </c>
      <c r="S494" s="2" t="s">
        <v>34</v>
      </c>
    </row>
    <row r="495" spans="1:19" x14ac:dyDescent="0.35">
      <c r="A495">
        <v>38</v>
      </c>
      <c r="B495" s="2" t="s">
        <v>39</v>
      </c>
      <c r="C495" t="s">
        <v>19</v>
      </c>
      <c r="D495" s="1" t="str">
        <v>Male</v>
      </c>
      <c r="E495">
        <v>2</v>
      </c>
      <c r="F495" t="s">
        <v>21</v>
      </c>
      <c r="G495" t="s">
        <v>10</v>
      </c>
      <c r="H495" t="s">
        <v>27</v>
      </c>
      <c r="I495">
        <v>368</v>
      </c>
      <c r="J495" s="2" t="s">
        <v>41</v>
      </c>
      <c r="K495" s="1" t="str">
        <f t="shared" si="21"/>
        <v>Has Spaces</v>
      </c>
      <c r="L495" s="1" t="b">
        <v>1</v>
      </c>
      <c r="M495" s="1" t="str">
        <f t="shared" si="22"/>
        <v>Valid</v>
      </c>
      <c r="N495">
        <v>6</v>
      </c>
      <c r="O495" s="1" t="str">
        <f t="shared" si="23"/>
        <v>Valid</v>
      </c>
      <c r="P495" t="s">
        <v>11</v>
      </c>
      <c r="Q495" s="1" t="str">
        <v>Radio/Tv</v>
      </c>
      <c r="R495">
        <v>1</v>
      </c>
      <c r="S495" s="2" t="s">
        <v>34</v>
      </c>
    </row>
    <row r="496" spans="1:19" x14ac:dyDescent="0.35">
      <c r="A496">
        <v>39</v>
      </c>
      <c r="B496" s="2" t="s">
        <v>39</v>
      </c>
      <c r="C496" t="s">
        <v>19</v>
      </c>
      <c r="D496" s="1" t="str">
        <v>Male</v>
      </c>
      <c r="E496">
        <v>1</v>
      </c>
      <c r="F496" t="s">
        <v>23</v>
      </c>
      <c r="G496" t="s">
        <v>24</v>
      </c>
      <c r="H496" t="s">
        <v>24</v>
      </c>
      <c r="I496">
        <v>2122</v>
      </c>
      <c r="J496" s="2" t="s">
        <v>43</v>
      </c>
      <c r="K496" s="1" t="str">
        <f t="shared" si="21"/>
        <v>Clean</v>
      </c>
      <c r="L496" s="1" t="b">
        <v>1</v>
      </c>
      <c r="M496" s="1" t="str">
        <f t="shared" si="22"/>
        <v>Valid</v>
      </c>
      <c r="N496">
        <v>12</v>
      </c>
      <c r="O496" s="1" t="str">
        <f t="shared" si="23"/>
        <v>Valid</v>
      </c>
      <c r="P496" t="s">
        <v>14</v>
      </c>
      <c r="Q496" s="1" t="str">
        <v>Car</v>
      </c>
      <c r="R496">
        <v>1</v>
      </c>
      <c r="S496" s="2" t="s">
        <v>34</v>
      </c>
    </row>
    <row r="497" spans="1:19" x14ac:dyDescent="0.35">
      <c r="A497">
        <v>20</v>
      </c>
      <c r="B497" s="2" t="s">
        <v>38</v>
      </c>
      <c r="C497" t="s">
        <v>19</v>
      </c>
      <c r="D497" s="1" t="str">
        <v>Male</v>
      </c>
      <c r="E497">
        <v>2</v>
      </c>
      <c r="F497" t="s">
        <v>21</v>
      </c>
      <c r="G497" t="s">
        <v>10</v>
      </c>
      <c r="H497" t="s">
        <v>24</v>
      </c>
      <c r="I497">
        <v>2996</v>
      </c>
      <c r="J497" s="2" t="s">
        <v>43</v>
      </c>
      <c r="K497" s="1" t="str">
        <f t="shared" si="21"/>
        <v>Clean</v>
      </c>
      <c r="L497" s="1" t="b">
        <v>1</v>
      </c>
      <c r="M497" s="1" t="str">
        <f t="shared" si="22"/>
        <v>Valid</v>
      </c>
      <c r="N497">
        <v>24</v>
      </c>
      <c r="O497" s="1" t="str">
        <f t="shared" si="23"/>
        <v>Valid</v>
      </c>
      <c r="P497" t="s">
        <v>13</v>
      </c>
      <c r="Q497" s="1" t="str">
        <v>Furniture/Equipment</v>
      </c>
      <c r="R497">
        <v>2</v>
      </c>
      <c r="S497" s="2" t="s">
        <v>35</v>
      </c>
    </row>
    <row r="498" spans="1:19" x14ac:dyDescent="0.35">
      <c r="A498">
        <v>29</v>
      </c>
      <c r="B498" s="2" t="s">
        <v>38</v>
      </c>
      <c r="C498" t="s">
        <v>19</v>
      </c>
      <c r="D498" s="1" t="str">
        <v>Male</v>
      </c>
      <c r="E498">
        <v>3</v>
      </c>
      <c r="F498" t="s">
        <v>23</v>
      </c>
      <c r="G498" t="s">
        <v>27</v>
      </c>
      <c r="H498" t="s">
        <v>27</v>
      </c>
      <c r="I498">
        <v>9034</v>
      </c>
      <c r="J498" s="2" t="s">
        <v>42</v>
      </c>
      <c r="K498" s="1" t="str">
        <f t="shared" si="21"/>
        <v>Clean</v>
      </c>
      <c r="L498" s="1" t="b">
        <v>1</v>
      </c>
      <c r="M498" s="1" t="str">
        <f t="shared" si="22"/>
        <v>Valid</v>
      </c>
      <c r="N498">
        <v>36</v>
      </c>
      <c r="O498" s="1" t="str">
        <f t="shared" si="23"/>
        <v>Valid</v>
      </c>
      <c r="P498" t="s">
        <v>13</v>
      </c>
      <c r="Q498" s="1" t="str">
        <v>Furniture/Equipment</v>
      </c>
      <c r="R498">
        <v>2</v>
      </c>
      <c r="S498" s="2" t="s">
        <v>35</v>
      </c>
    </row>
    <row r="499" spans="1:19" x14ac:dyDescent="0.35">
      <c r="A499">
        <v>40</v>
      </c>
      <c r="B499" s="2" t="s">
        <v>39</v>
      </c>
      <c r="C499" t="s">
        <v>19</v>
      </c>
      <c r="D499" s="1" t="str">
        <v>Male</v>
      </c>
      <c r="E499">
        <v>2</v>
      </c>
      <c r="F499" t="s">
        <v>21</v>
      </c>
      <c r="G499" t="s">
        <v>24</v>
      </c>
      <c r="H499" t="s">
        <v>10</v>
      </c>
      <c r="I499">
        <v>1585</v>
      </c>
      <c r="J499" s="2" t="s">
        <v>41</v>
      </c>
      <c r="K499" s="1" t="str">
        <f t="shared" si="21"/>
        <v>Has Spaces</v>
      </c>
      <c r="L499" s="1" t="b">
        <v>1</v>
      </c>
      <c r="M499" s="1" t="str">
        <f t="shared" si="22"/>
        <v>Valid</v>
      </c>
      <c r="N499">
        <v>24</v>
      </c>
      <c r="O499" s="1" t="str">
        <f t="shared" si="23"/>
        <v>Valid</v>
      </c>
      <c r="P499" t="s">
        <v>13</v>
      </c>
      <c r="Q499" s="1" t="str">
        <v>Furniture/Equipment</v>
      </c>
      <c r="R499">
        <v>1</v>
      </c>
      <c r="S499" s="2" t="s">
        <v>34</v>
      </c>
    </row>
    <row r="500" spans="1:19" x14ac:dyDescent="0.35">
      <c r="A500">
        <v>32</v>
      </c>
      <c r="B500" s="2" t="s">
        <v>39</v>
      </c>
      <c r="C500" t="s">
        <v>19</v>
      </c>
      <c r="D500" s="1" t="str">
        <v>Male</v>
      </c>
      <c r="E500">
        <v>1</v>
      </c>
      <c r="F500" t="s">
        <v>21</v>
      </c>
      <c r="G500" t="s">
        <v>24</v>
      </c>
      <c r="H500" t="s">
        <v>27</v>
      </c>
      <c r="I500">
        <v>1301</v>
      </c>
      <c r="J500" s="2" t="s">
        <v>41</v>
      </c>
      <c r="K500" s="1" t="str">
        <f t="shared" si="21"/>
        <v>Has Spaces</v>
      </c>
      <c r="L500" s="1" t="b">
        <v>1</v>
      </c>
      <c r="M500" s="1" t="str">
        <f t="shared" si="22"/>
        <v>Valid</v>
      </c>
      <c r="N500">
        <v>18</v>
      </c>
      <c r="O500" s="1" t="str">
        <f t="shared" si="23"/>
        <v>Valid</v>
      </c>
      <c r="P500" t="s">
        <v>11</v>
      </c>
      <c r="Q500" s="1" t="str">
        <v>Radio/Tv</v>
      </c>
      <c r="R500">
        <v>1</v>
      </c>
      <c r="S500" s="2" t="s">
        <v>34</v>
      </c>
    </row>
    <row r="501" spans="1:19" x14ac:dyDescent="0.35">
      <c r="A501">
        <v>28</v>
      </c>
      <c r="B501" s="2" t="s">
        <v>38</v>
      </c>
      <c r="C501" t="s">
        <v>19</v>
      </c>
      <c r="D501" s="1" t="str">
        <v>Male</v>
      </c>
      <c r="E501">
        <v>2</v>
      </c>
      <c r="F501" t="s">
        <v>21</v>
      </c>
      <c r="G501" t="s">
        <v>27</v>
      </c>
      <c r="H501" t="s">
        <v>26</v>
      </c>
      <c r="I501">
        <v>1323</v>
      </c>
      <c r="J501" s="2" t="s">
        <v>41</v>
      </c>
      <c r="K501" s="1" t="str">
        <f t="shared" si="21"/>
        <v>Has Spaces</v>
      </c>
      <c r="L501" s="1" t="b">
        <v>1</v>
      </c>
      <c r="M501" s="1" t="str">
        <f t="shared" si="22"/>
        <v>Valid</v>
      </c>
      <c r="N501">
        <v>6</v>
      </c>
      <c r="O501" s="1" t="str">
        <f t="shared" si="23"/>
        <v>Valid</v>
      </c>
      <c r="P501" t="s">
        <v>14</v>
      </c>
      <c r="Q501" s="1" t="str">
        <v>Car</v>
      </c>
      <c r="R501">
        <v>1</v>
      </c>
      <c r="S501" s="2" t="s">
        <v>34</v>
      </c>
    </row>
    <row r="502" spans="1:19" x14ac:dyDescent="0.35">
      <c r="A502">
        <v>27</v>
      </c>
      <c r="B502" s="2" t="s">
        <v>38</v>
      </c>
      <c r="C502" t="s">
        <v>20</v>
      </c>
      <c r="D502" s="1" t="str">
        <v>Female</v>
      </c>
      <c r="E502">
        <v>2</v>
      </c>
      <c r="F502" t="s">
        <v>21</v>
      </c>
      <c r="G502" t="s">
        <v>24</v>
      </c>
      <c r="H502" t="s">
        <v>24</v>
      </c>
      <c r="I502">
        <v>3123</v>
      </c>
      <c r="J502" s="2" t="s">
        <v>43</v>
      </c>
      <c r="K502" s="1" t="str">
        <f t="shared" si="21"/>
        <v>Clean</v>
      </c>
      <c r="L502" s="1" t="b">
        <v>1</v>
      </c>
      <c r="M502" s="1" t="str">
        <f t="shared" si="22"/>
        <v>Valid</v>
      </c>
      <c r="N502">
        <v>24</v>
      </c>
      <c r="O502" s="1" t="str">
        <f t="shared" si="23"/>
        <v>Valid</v>
      </c>
      <c r="P502" t="s">
        <v>14</v>
      </c>
      <c r="Q502" s="1" t="str">
        <v>Car</v>
      </c>
      <c r="R502">
        <v>2</v>
      </c>
      <c r="S502" s="2" t="s">
        <v>35</v>
      </c>
    </row>
    <row r="503" spans="1:19" x14ac:dyDescent="0.35">
      <c r="A503">
        <v>42</v>
      </c>
      <c r="B503" s="2" t="s">
        <v>39</v>
      </c>
      <c r="C503" t="s">
        <v>19</v>
      </c>
      <c r="D503" s="1" t="str">
        <v>Male</v>
      </c>
      <c r="E503">
        <v>2</v>
      </c>
      <c r="F503" t="s">
        <v>22</v>
      </c>
      <c r="G503" t="s">
        <v>24</v>
      </c>
      <c r="H503" t="s">
        <v>24</v>
      </c>
      <c r="I503">
        <v>5493</v>
      </c>
      <c r="J503" s="2" t="s">
        <v>42</v>
      </c>
      <c r="K503" s="1" t="str">
        <f t="shared" si="21"/>
        <v>Clean</v>
      </c>
      <c r="L503" s="1" t="b">
        <v>1</v>
      </c>
      <c r="M503" s="1" t="str">
        <f t="shared" si="22"/>
        <v>Valid</v>
      </c>
      <c r="N503">
        <v>36</v>
      </c>
      <c r="O503" s="1" t="str">
        <f t="shared" si="23"/>
        <v>Valid</v>
      </c>
      <c r="P503" t="s">
        <v>14</v>
      </c>
      <c r="Q503" s="1" t="str">
        <v>Car</v>
      </c>
      <c r="R503">
        <v>1</v>
      </c>
      <c r="S503" s="2" t="s">
        <v>34</v>
      </c>
    </row>
    <row r="504" spans="1:19" x14ac:dyDescent="0.35">
      <c r="A504">
        <v>49</v>
      </c>
      <c r="B504" s="2" t="s">
        <v>39</v>
      </c>
      <c r="C504" t="s">
        <v>19</v>
      </c>
      <c r="D504" s="1" t="str">
        <v>Male</v>
      </c>
      <c r="E504">
        <v>2</v>
      </c>
      <c r="F504" t="s">
        <v>21</v>
      </c>
      <c r="G504" t="s">
        <v>27</v>
      </c>
      <c r="H504" t="s">
        <v>26</v>
      </c>
      <c r="I504">
        <v>1126</v>
      </c>
      <c r="J504" s="2" t="s">
        <v>41</v>
      </c>
      <c r="K504" s="1" t="str">
        <f t="shared" si="21"/>
        <v>Has Spaces</v>
      </c>
      <c r="L504" s="1" t="b">
        <v>1</v>
      </c>
      <c r="M504" s="1" t="str">
        <f t="shared" si="22"/>
        <v>Valid</v>
      </c>
      <c r="N504">
        <v>9</v>
      </c>
      <c r="O504" s="1" t="str">
        <f t="shared" si="23"/>
        <v>Valid</v>
      </c>
      <c r="P504" t="s">
        <v>11</v>
      </c>
      <c r="Q504" s="1" t="str">
        <v>Radio/Tv</v>
      </c>
      <c r="R504">
        <v>1</v>
      </c>
      <c r="S504" s="2" t="s">
        <v>34</v>
      </c>
    </row>
    <row r="505" spans="1:19" x14ac:dyDescent="0.35">
      <c r="A505">
        <v>38</v>
      </c>
      <c r="B505" s="2" t="s">
        <v>39</v>
      </c>
      <c r="C505" t="s">
        <v>19</v>
      </c>
      <c r="D505" s="1" t="str">
        <v>Male</v>
      </c>
      <c r="E505">
        <v>2</v>
      </c>
      <c r="F505" t="s">
        <v>21</v>
      </c>
      <c r="G505" t="s">
        <v>27</v>
      </c>
      <c r="H505" t="s">
        <v>27</v>
      </c>
      <c r="I505">
        <v>1216</v>
      </c>
      <c r="J505" s="2" t="s">
        <v>41</v>
      </c>
      <c r="K505" s="1" t="str">
        <f t="shared" si="21"/>
        <v>Has Spaces</v>
      </c>
      <c r="L505" s="1" t="b">
        <v>1</v>
      </c>
      <c r="M505" s="1" t="str">
        <f t="shared" si="22"/>
        <v>Valid</v>
      </c>
      <c r="N505">
        <v>24</v>
      </c>
      <c r="O505" s="1" t="str">
        <f t="shared" si="23"/>
        <v>Valid</v>
      </c>
      <c r="P505" t="s">
        <v>11</v>
      </c>
      <c r="Q505" s="1" t="str">
        <v>Radio/Tv</v>
      </c>
      <c r="R505">
        <v>2</v>
      </c>
      <c r="S505" s="2" t="s">
        <v>35</v>
      </c>
    </row>
    <row r="506" spans="1:19" x14ac:dyDescent="0.35">
      <c r="A506">
        <v>24</v>
      </c>
      <c r="B506" s="2" t="s">
        <v>38</v>
      </c>
      <c r="C506" t="s">
        <v>20</v>
      </c>
      <c r="D506" s="1" t="str">
        <v>Female</v>
      </c>
      <c r="E506">
        <v>2</v>
      </c>
      <c r="F506" t="s">
        <v>23</v>
      </c>
      <c r="G506" t="s">
        <v>24</v>
      </c>
      <c r="H506" t="s">
        <v>24</v>
      </c>
      <c r="I506">
        <v>1207</v>
      </c>
      <c r="J506" s="2" t="s">
        <v>41</v>
      </c>
      <c r="K506" s="1" t="str">
        <f t="shared" si="21"/>
        <v>Has Spaces</v>
      </c>
      <c r="L506" s="1" t="b">
        <v>1</v>
      </c>
      <c r="M506" s="1" t="str">
        <f t="shared" si="22"/>
        <v>Valid</v>
      </c>
      <c r="N506">
        <v>24</v>
      </c>
      <c r="O506" s="1" t="str">
        <f t="shared" si="23"/>
        <v>Valid</v>
      </c>
      <c r="P506" t="s">
        <v>14</v>
      </c>
      <c r="Q506" s="1" t="str">
        <v>Car</v>
      </c>
      <c r="R506">
        <v>2</v>
      </c>
      <c r="S506" s="2" t="s">
        <v>35</v>
      </c>
    </row>
    <row r="507" spans="1:19" x14ac:dyDescent="0.35">
      <c r="A507">
        <v>27</v>
      </c>
      <c r="B507" s="2" t="s">
        <v>38</v>
      </c>
      <c r="C507" t="s">
        <v>19</v>
      </c>
      <c r="D507" s="1" t="str">
        <v>Male</v>
      </c>
      <c r="E507">
        <v>1</v>
      </c>
      <c r="F507" t="s">
        <v>21</v>
      </c>
      <c r="G507" t="s">
        <v>10</v>
      </c>
      <c r="H507" t="s">
        <v>10</v>
      </c>
      <c r="I507">
        <v>1309</v>
      </c>
      <c r="J507" s="2" t="s">
        <v>41</v>
      </c>
      <c r="K507" s="1" t="str">
        <f t="shared" si="21"/>
        <v>Has Spaces</v>
      </c>
      <c r="L507" s="1" t="b">
        <v>1</v>
      </c>
      <c r="M507" s="1" t="str">
        <f t="shared" si="22"/>
        <v>Valid</v>
      </c>
      <c r="N507">
        <v>10</v>
      </c>
      <c r="O507" s="1" t="str">
        <f t="shared" si="23"/>
        <v>Valid</v>
      </c>
      <c r="P507" t="s">
        <v>14</v>
      </c>
      <c r="Q507" s="1" t="str">
        <v>Car</v>
      </c>
      <c r="R507">
        <v>2</v>
      </c>
      <c r="S507" s="2" t="s">
        <v>35</v>
      </c>
    </row>
    <row r="508" spans="1:19" x14ac:dyDescent="0.35">
      <c r="A508">
        <v>36</v>
      </c>
      <c r="B508" s="2" t="s">
        <v>39</v>
      </c>
      <c r="C508" t="s">
        <v>19</v>
      </c>
      <c r="D508" s="1" t="str">
        <v>Male</v>
      </c>
      <c r="E508">
        <v>2</v>
      </c>
      <c r="F508" t="s">
        <v>21</v>
      </c>
      <c r="G508" t="s">
        <v>25</v>
      </c>
      <c r="H508" t="s">
        <v>26</v>
      </c>
      <c r="I508">
        <v>2360</v>
      </c>
      <c r="J508" s="2" t="s">
        <v>43</v>
      </c>
      <c r="K508" s="1" t="str">
        <f t="shared" si="21"/>
        <v>Clean</v>
      </c>
      <c r="L508" s="1" t="b">
        <v>1</v>
      </c>
      <c r="M508" s="1" t="str">
        <f t="shared" si="22"/>
        <v>Valid</v>
      </c>
      <c r="N508">
        <v>15</v>
      </c>
      <c r="O508" s="1" t="str">
        <f t="shared" si="23"/>
        <v>Valid</v>
      </c>
      <c r="P508" t="s">
        <v>14</v>
      </c>
      <c r="Q508" s="1" t="str">
        <v>Car</v>
      </c>
      <c r="R508">
        <v>1</v>
      </c>
      <c r="S508" s="2" t="s">
        <v>34</v>
      </c>
    </row>
    <row r="509" spans="1:19" x14ac:dyDescent="0.35">
      <c r="A509">
        <v>34</v>
      </c>
      <c r="B509" s="2" t="s">
        <v>39</v>
      </c>
      <c r="C509" t="s">
        <v>19</v>
      </c>
      <c r="D509" s="1" t="str">
        <v>Male</v>
      </c>
      <c r="E509">
        <v>3</v>
      </c>
      <c r="F509" t="s">
        <v>21</v>
      </c>
      <c r="G509" t="s">
        <v>27</v>
      </c>
      <c r="H509" t="s">
        <v>27</v>
      </c>
      <c r="I509">
        <v>6850</v>
      </c>
      <c r="J509" s="2" t="s">
        <v>42</v>
      </c>
      <c r="K509" s="1" t="str">
        <f t="shared" si="21"/>
        <v>Clean</v>
      </c>
      <c r="L509" s="1" t="b">
        <v>1</v>
      </c>
      <c r="M509" s="1" t="str">
        <f t="shared" si="22"/>
        <v>Valid</v>
      </c>
      <c r="N509">
        <v>15</v>
      </c>
      <c r="O509" s="1" t="str">
        <f t="shared" si="23"/>
        <v>Valid</v>
      </c>
      <c r="P509" t="s">
        <v>14</v>
      </c>
      <c r="Q509" s="1" t="str">
        <v>Car</v>
      </c>
      <c r="R509">
        <v>2</v>
      </c>
      <c r="S509" s="2" t="s">
        <v>35</v>
      </c>
    </row>
    <row r="510" spans="1:19" x14ac:dyDescent="0.35">
      <c r="A510">
        <v>28</v>
      </c>
      <c r="B510" s="2" t="s">
        <v>38</v>
      </c>
      <c r="C510" t="s">
        <v>19</v>
      </c>
      <c r="D510" s="1" t="str">
        <v>Male</v>
      </c>
      <c r="E510">
        <v>2</v>
      </c>
      <c r="F510" t="s">
        <v>21</v>
      </c>
      <c r="G510" t="s">
        <v>24</v>
      </c>
      <c r="H510" t="s">
        <v>10</v>
      </c>
      <c r="I510">
        <v>1413</v>
      </c>
      <c r="J510" s="2" t="s">
        <v>41</v>
      </c>
      <c r="K510" s="1" t="str">
        <f t="shared" si="21"/>
        <v>Has Spaces</v>
      </c>
      <c r="L510" s="1" t="b">
        <v>1</v>
      </c>
      <c r="M510" s="1" t="str">
        <f t="shared" si="22"/>
        <v>Valid</v>
      </c>
      <c r="N510">
        <v>24</v>
      </c>
      <c r="O510" s="1" t="str">
        <f t="shared" si="23"/>
        <v>Valid</v>
      </c>
      <c r="P510" t="s">
        <v>11</v>
      </c>
      <c r="Q510" s="1" t="str">
        <v>Radio/Tv</v>
      </c>
      <c r="R510">
        <v>1</v>
      </c>
      <c r="S510" s="2" t="s">
        <v>34</v>
      </c>
    </row>
    <row r="511" spans="1:19" x14ac:dyDescent="0.35">
      <c r="A511">
        <v>45</v>
      </c>
      <c r="B511" s="2" t="s">
        <v>39</v>
      </c>
      <c r="C511" t="s">
        <v>19</v>
      </c>
      <c r="D511" s="1" t="str">
        <v>Male</v>
      </c>
      <c r="E511">
        <v>3</v>
      </c>
      <c r="F511" t="s">
        <v>21</v>
      </c>
      <c r="G511" t="s">
        <v>27</v>
      </c>
      <c r="H511" t="s">
        <v>10</v>
      </c>
      <c r="I511">
        <v>8588</v>
      </c>
      <c r="J511" s="2" t="s">
        <v>42</v>
      </c>
      <c r="K511" s="1" t="str">
        <f t="shared" si="21"/>
        <v>Clean</v>
      </c>
      <c r="L511" s="1" t="b">
        <v>1</v>
      </c>
      <c r="M511" s="1" t="str">
        <f t="shared" si="22"/>
        <v>Valid</v>
      </c>
      <c r="N511">
        <v>39</v>
      </c>
      <c r="O511" s="1" t="str">
        <f t="shared" si="23"/>
        <v>Valid</v>
      </c>
      <c r="P511" t="s">
        <v>14</v>
      </c>
      <c r="Q511" s="1" t="str">
        <v>Car</v>
      </c>
      <c r="R511">
        <v>1</v>
      </c>
      <c r="S511" s="2" t="s">
        <v>34</v>
      </c>
    </row>
    <row r="512" spans="1:19" x14ac:dyDescent="0.35">
      <c r="A512">
        <v>26</v>
      </c>
      <c r="B512" s="2" t="s">
        <v>38</v>
      </c>
      <c r="C512" t="s">
        <v>19</v>
      </c>
      <c r="D512" s="1" t="str">
        <v>Male</v>
      </c>
      <c r="E512">
        <v>2</v>
      </c>
      <c r="F512" t="s">
        <v>21</v>
      </c>
      <c r="G512" t="s">
        <v>24</v>
      </c>
      <c r="H512" t="s">
        <v>24</v>
      </c>
      <c r="I512">
        <v>759</v>
      </c>
      <c r="J512" s="2" t="s">
        <v>41</v>
      </c>
      <c r="K512" s="1" t="str">
        <f t="shared" si="21"/>
        <v>Has Spaces</v>
      </c>
      <c r="L512" s="1" t="b">
        <v>1</v>
      </c>
      <c r="M512" s="1" t="str">
        <f t="shared" si="22"/>
        <v>Valid</v>
      </c>
      <c r="N512">
        <v>12</v>
      </c>
      <c r="O512" s="1" t="str">
        <f t="shared" si="23"/>
        <v>Valid</v>
      </c>
      <c r="P512" t="s">
        <v>14</v>
      </c>
      <c r="Q512" s="1" t="str">
        <v>Car</v>
      </c>
      <c r="R512">
        <v>2</v>
      </c>
      <c r="S512" s="2" t="s">
        <v>35</v>
      </c>
    </row>
    <row r="513" spans="1:19" x14ac:dyDescent="0.35">
      <c r="A513">
        <v>32</v>
      </c>
      <c r="B513" s="2" t="s">
        <v>39</v>
      </c>
      <c r="C513" t="s">
        <v>19</v>
      </c>
      <c r="D513" s="1" t="str">
        <v>Male</v>
      </c>
      <c r="E513">
        <v>3</v>
      </c>
      <c r="F513" t="s">
        <v>22</v>
      </c>
      <c r="G513" t="s">
        <v>24</v>
      </c>
      <c r="H513" t="s">
        <v>10</v>
      </c>
      <c r="I513">
        <v>4686</v>
      </c>
      <c r="J513" s="2" t="s">
        <v>43</v>
      </c>
      <c r="K513" s="1" t="str">
        <f t="shared" si="21"/>
        <v>Clean</v>
      </c>
      <c r="L513" s="1" t="b">
        <v>1</v>
      </c>
      <c r="M513" s="1" t="str">
        <f t="shared" si="22"/>
        <v>Valid</v>
      </c>
      <c r="N513">
        <v>36</v>
      </c>
      <c r="O513" s="1" t="str">
        <f t="shared" si="23"/>
        <v>Valid</v>
      </c>
      <c r="P513" t="s">
        <v>14</v>
      </c>
      <c r="Q513" s="1" t="str">
        <v>Car</v>
      </c>
      <c r="R513">
        <v>1</v>
      </c>
      <c r="S513" s="2" t="s">
        <v>34</v>
      </c>
    </row>
    <row r="514" spans="1:19" x14ac:dyDescent="0.35">
      <c r="A514">
        <v>26</v>
      </c>
      <c r="B514" s="2" t="s">
        <v>38</v>
      </c>
      <c r="C514" t="s">
        <v>19</v>
      </c>
      <c r="D514" s="1" t="str">
        <v>Male</v>
      </c>
      <c r="E514">
        <v>2</v>
      </c>
      <c r="F514" t="s">
        <v>23</v>
      </c>
      <c r="G514" t="s">
        <v>24</v>
      </c>
      <c r="H514" t="s">
        <v>26</v>
      </c>
      <c r="I514">
        <v>2687</v>
      </c>
      <c r="J514" s="2" t="s">
        <v>43</v>
      </c>
      <c r="K514" s="1" t="str">
        <f t="shared" si="21"/>
        <v>Clean</v>
      </c>
      <c r="L514" s="1" t="b">
        <v>1</v>
      </c>
      <c r="M514" s="1" t="str">
        <f t="shared" si="22"/>
        <v>Valid</v>
      </c>
      <c r="N514">
        <v>15</v>
      </c>
      <c r="O514" s="1" t="str">
        <f t="shared" si="23"/>
        <v>Valid</v>
      </c>
      <c r="P514" t="s">
        <v>15</v>
      </c>
      <c r="Q514" s="1" t="str">
        <v>Business</v>
      </c>
      <c r="R514">
        <v>1</v>
      </c>
      <c r="S514" s="2" t="s">
        <v>34</v>
      </c>
    </row>
    <row r="515" spans="1:19" x14ac:dyDescent="0.35">
      <c r="A515">
        <v>20</v>
      </c>
      <c r="B515" s="2" t="s">
        <v>38</v>
      </c>
      <c r="C515" t="s">
        <v>19</v>
      </c>
      <c r="D515" s="1" t="str">
        <v>Male</v>
      </c>
      <c r="E515">
        <v>2</v>
      </c>
      <c r="F515" t="s">
        <v>23</v>
      </c>
      <c r="G515" t="s">
        <v>24</v>
      </c>
      <c r="H515" t="s">
        <v>27</v>
      </c>
      <c r="I515">
        <v>585</v>
      </c>
      <c r="J515" s="2" t="s">
        <v>41</v>
      </c>
      <c r="K515" s="1" t="str">
        <f t="shared" ref="K515:K578" si="24">IF(J515=TRIM(J515),"Clean","Has Spaces")</f>
        <v>Has Spaces</v>
      </c>
      <c r="L515" s="1" t="b">
        <v>1</v>
      </c>
      <c r="M515" s="1" t="str">
        <f t="shared" ref="M515:M578" si="25">IF(I515&gt;0,"Valid", "Invalid")</f>
        <v>Valid</v>
      </c>
      <c r="N515">
        <v>12</v>
      </c>
      <c r="O515" s="1" t="str">
        <f t="shared" ref="O515:O578" si="26">IF(N515&lt;=0,"invalid", "Valid")</f>
        <v>Valid</v>
      </c>
      <c r="P515" t="s">
        <v>11</v>
      </c>
      <c r="Q515" s="1" t="str">
        <v>Radio/Tv</v>
      </c>
      <c r="R515">
        <v>1</v>
      </c>
      <c r="S515" s="2" t="s">
        <v>34</v>
      </c>
    </row>
    <row r="516" spans="1:19" x14ac:dyDescent="0.35">
      <c r="A516">
        <v>54</v>
      </c>
      <c r="B516" s="2" t="s">
        <v>37</v>
      </c>
      <c r="C516" t="s">
        <v>19</v>
      </c>
      <c r="D516" s="1" t="str">
        <v>Male</v>
      </c>
      <c r="E516">
        <v>2</v>
      </c>
      <c r="F516" t="s">
        <v>21</v>
      </c>
      <c r="G516" t="s">
        <v>10</v>
      </c>
      <c r="H516" t="s">
        <v>10</v>
      </c>
      <c r="I516">
        <v>2255</v>
      </c>
      <c r="J516" s="2" t="s">
        <v>43</v>
      </c>
      <c r="K516" s="1" t="str">
        <f t="shared" si="24"/>
        <v>Clean</v>
      </c>
      <c r="L516" s="1" t="b">
        <v>1</v>
      </c>
      <c r="M516" s="1" t="str">
        <f t="shared" si="25"/>
        <v>Valid</v>
      </c>
      <c r="N516">
        <v>24</v>
      </c>
      <c r="O516" s="1" t="str">
        <f t="shared" si="26"/>
        <v>Valid</v>
      </c>
      <c r="P516" t="s">
        <v>14</v>
      </c>
      <c r="Q516" s="1" t="str">
        <v>Car</v>
      </c>
      <c r="R516">
        <v>1</v>
      </c>
      <c r="S516" s="2" t="s">
        <v>34</v>
      </c>
    </row>
    <row r="517" spans="1:19" x14ac:dyDescent="0.35">
      <c r="A517">
        <v>37</v>
      </c>
      <c r="B517" s="2" t="s">
        <v>39</v>
      </c>
      <c r="C517" t="s">
        <v>20</v>
      </c>
      <c r="D517" s="1" t="str">
        <v>Female</v>
      </c>
      <c r="E517">
        <v>2</v>
      </c>
      <c r="F517" t="s">
        <v>21</v>
      </c>
      <c r="G517" t="s">
        <v>24</v>
      </c>
      <c r="H517" t="s">
        <v>24</v>
      </c>
      <c r="I517">
        <v>609</v>
      </c>
      <c r="J517" s="2" t="s">
        <v>41</v>
      </c>
      <c r="K517" s="1" t="str">
        <f t="shared" si="24"/>
        <v>Has Spaces</v>
      </c>
      <c r="L517" s="1" t="b">
        <v>1</v>
      </c>
      <c r="M517" s="1" t="str">
        <f t="shared" si="25"/>
        <v>Valid</v>
      </c>
      <c r="N517">
        <v>6</v>
      </c>
      <c r="O517" s="1" t="str">
        <f t="shared" si="26"/>
        <v>Valid</v>
      </c>
      <c r="P517" t="s">
        <v>14</v>
      </c>
      <c r="Q517" s="1" t="str">
        <v>Car</v>
      </c>
      <c r="R517">
        <v>1</v>
      </c>
      <c r="S517" s="2" t="s">
        <v>34</v>
      </c>
    </row>
    <row r="518" spans="1:19" x14ac:dyDescent="0.35">
      <c r="A518">
        <v>40</v>
      </c>
      <c r="B518" s="2" t="s">
        <v>39</v>
      </c>
      <c r="C518" t="s">
        <v>19</v>
      </c>
      <c r="D518" s="1" t="str">
        <v>Male</v>
      </c>
      <c r="E518">
        <v>1</v>
      </c>
      <c r="F518" t="s">
        <v>21</v>
      </c>
      <c r="G518" t="s">
        <v>24</v>
      </c>
      <c r="H518" t="s">
        <v>24</v>
      </c>
      <c r="I518">
        <v>1361</v>
      </c>
      <c r="J518" s="2" t="s">
        <v>41</v>
      </c>
      <c r="K518" s="1" t="str">
        <f t="shared" si="24"/>
        <v>Has Spaces</v>
      </c>
      <c r="L518" s="1" t="b">
        <v>1</v>
      </c>
      <c r="M518" s="1" t="str">
        <f t="shared" si="25"/>
        <v>Valid</v>
      </c>
      <c r="N518">
        <v>6</v>
      </c>
      <c r="O518" s="1" t="str">
        <f t="shared" si="26"/>
        <v>Valid</v>
      </c>
      <c r="P518" t="s">
        <v>14</v>
      </c>
      <c r="Q518" s="1" t="str">
        <v>Car</v>
      </c>
      <c r="R518">
        <v>1</v>
      </c>
      <c r="S518" s="2" t="s">
        <v>34</v>
      </c>
    </row>
    <row r="519" spans="1:19" x14ac:dyDescent="0.35">
      <c r="A519">
        <v>23</v>
      </c>
      <c r="B519" s="2" t="s">
        <v>38</v>
      </c>
      <c r="C519" t="s">
        <v>20</v>
      </c>
      <c r="D519" s="1" t="str">
        <v>Female</v>
      </c>
      <c r="E519">
        <v>2</v>
      </c>
      <c r="F519" t="s">
        <v>23</v>
      </c>
      <c r="G519" t="s">
        <v>24</v>
      </c>
      <c r="H519" t="s">
        <v>10</v>
      </c>
      <c r="I519">
        <v>7127</v>
      </c>
      <c r="J519" s="2" t="s">
        <v>42</v>
      </c>
      <c r="K519" s="1" t="str">
        <f t="shared" si="24"/>
        <v>Clean</v>
      </c>
      <c r="L519" s="1" t="b">
        <v>1</v>
      </c>
      <c r="M519" s="1" t="str">
        <f t="shared" si="25"/>
        <v>Valid</v>
      </c>
      <c r="N519">
        <v>36</v>
      </c>
      <c r="O519" s="1" t="str">
        <f t="shared" si="26"/>
        <v>Valid</v>
      </c>
      <c r="P519" t="s">
        <v>13</v>
      </c>
      <c r="Q519" s="1" t="str">
        <v>Furniture/Equipment</v>
      </c>
      <c r="R519">
        <v>2</v>
      </c>
      <c r="S519" s="2" t="s">
        <v>35</v>
      </c>
    </row>
    <row r="520" spans="1:19" x14ac:dyDescent="0.35">
      <c r="A520">
        <v>43</v>
      </c>
      <c r="B520" s="2" t="s">
        <v>39</v>
      </c>
      <c r="C520" t="s">
        <v>19</v>
      </c>
      <c r="D520" s="1" t="str">
        <v>Male</v>
      </c>
      <c r="E520">
        <v>2</v>
      </c>
      <c r="F520" t="s">
        <v>21</v>
      </c>
      <c r="G520" t="s">
        <v>27</v>
      </c>
      <c r="H520" t="s">
        <v>24</v>
      </c>
      <c r="I520">
        <v>1203</v>
      </c>
      <c r="J520" s="2" t="s">
        <v>41</v>
      </c>
      <c r="K520" s="1" t="str">
        <f t="shared" si="24"/>
        <v>Has Spaces</v>
      </c>
      <c r="L520" s="1" t="b">
        <v>1</v>
      </c>
      <c r="M520" s="1" t="str">
        <f t="shared" si="25"/>
        <v>Valid</v>
      </c>
      <c r="N520">
        <v>6</v>
      </c>
      <c r="O520" s="1" t="str">
        <f t="shared" si="26"/>
        <v>Valid</v>
      </c>
      <c r="P520" t="s">
        <v>14</v>
      </c>
      <c r="Q520" s="1" t="str">
        <v>Car</v>
      </c>
      <c r="R520">
        <v>1</v>
      </c>
      <c r="S520" s="2" t="s">
        <v>34</v>
      </c>
    </row>
    <row r="521" spans="1:19" x14ac:dyDescent="0.35">
      <c r="A521">
        <v>36</v>
      </c>
      <c r="B521" s="2" t="s">
        <v>39</v>
      </c>
      <c r="C521" t="s">
        <v>19</v>
      </c>
      <c r="D521" s="1" t="str">
        <v>Male</v>
      </c>
      <c r="E521">
        <v>2</v>
      </c>
      <c r="F521" t="s">
        <v>22</v>
      </c>
      <c r="G521" t="s">
        <v>10</v>
      </c>
      <c r="H521" t="s">
        <v>10</v>
      </c>
      <c r="I521">
        <v>700</v>
      </c>
      <c r="J521" s="2" t="s">
        <v>41</v>
      </c>
      <c r="K521" s="1" t="str">
        <f t="shared" si="24"/>
        <v>Has Spaces</v>
      </c>
      <c r="L521" s="1" t="b">
        <v>1</v>
      </c>
      <c r="M521" s="1" t="str">
        <f t="shared" si="25"/>
        <v>Valid</v>
      </c>
      <c r="N521">
        <v>6</v>
      </c>
      <c r="O521" s="1" t="str">
        <f t="shared" si="26"/>
        <v>Valid</v>
      </c>
      <c r="P521" t="s">
        <v>11</v>
      </c>
      <c r="Q521" s="1" t="str">
        <v>Radio/Tv</v>
      </c>
      <c r="R521">
        <v>1</v>
      </c>
      <c r="S521" s="2" t="s">
        <v>34</v>
      </c>
    </row>
    <row r="522" spans="1:19" x14ac:dyDescent="0.35">
      <c r="A522">
        <v>44</v>
      </c>
      <c r="B522" s="2" t="s">
        <v>39</v>
      </c>
      <c r="C522" t="s">
        <v>19</v>
      </c>
      <c r="D522" s="1" t="str">
        <v>Male</v>
      </c>
      <c r="E522">
        <v>2</v>
      </c>
      <c r="F522" t="s">
        <v>22</v>
      </c>
      <c r="G522" t="s">
        <v>24</v>
      </c>
      <c r="H522" t="s">
        <v>10</v>
      </c>
      <c r="I522">
        <v>5507</v>
      </c>
      <c r="J522" s="2" t="s">
        <v>42</v>
      </c>
      <c r="K522" s="1" t="str">
        <f t="shared" si="24"/>
        <v>Clean</v>
      </c>
      <c r="L522" s="1" t="b">
        <v>1</v>
      </c>
      <c r="M522" s="1" t="str">
        <f t="shared" si="25"/>
        <v>Valid</v>
      </c>
      <c r="N522">
        <v>24</v>
      </c>
      <c r="O522" s="1" t="str">
        <f t="shared" si="26"/>
        <v>Valid</v>
      </c>
      <c r="P522" t="s">
        <v>17</v>
      </c>
      <c r="Q522" s="1" t="str">
        <v>Repairs</v>
      </c>
      <c r="R522">
        <v>1</v>
      </c>
      <c r="S522" s="2" t="s">
        <v>34</v>
      </c>
    </row>
    <row r="523" spans="1:19" x14ac:dyDescent="0.35">
      <c r="A523">
        <v>24</v>
      </c>
      <c r="B523" s="2" t="s">
        <v>38</v>
      </c>
      <c r="C523" t="s">
        <v>20</v>
      </c>
      <c r="D523" s="1" t="str">
        <v>Female</v>
      </c>
      <c r="E523">
        <v>2</v>
      </c>
      <c r="F523" t="s">
        <v>21</v>
      </c>
      <c r="G523" t="s">
        <v>24</v>
      </c>
      <c r="H523" t="s">
        <v>24</v>
      </c>
      <c r="I523">
        <v>3190</v>
      </c>
      <c r="J523" s="2" t="s">
        <v>43</v>
      </c>
      <c r="K523" s="1" t="str">
        <f t="shared" si="24"/>
        <v>Clean</v>
      </c>
      <c r="L523" s="1" t="b">
        <v>1</v>
      </c>
      <c r="M523" s="1" t="str">
        <f t="shared" si="25"/>
        <v>Valid</v>
      </c>
      <c r="N523">
        <v>18</v>
      </c>
      <c r="O523" s="1" t="str">
        <f t="shared" si="26"/>
        <v>Valid</v>
      </c>
      <c r="P523" t="s">
        <v>11</v>
      </c>
      <c r="Q523" s="1" t="str">
        <v>Radio/Tv</v>
      </c>
      <c r="R523">
        <v>2</v>
      </c>
      <c r="S523" s="2" t="s">
        <v>35</v>
      </c>
    </row>
    <row r="524" spans="1:19" x14ac:dyDescent="0.35">
      <c r="A524">
        <v>53</v>
      </c>
      <c r="B524" s="2" t="s">
        <v>37</v>
      </c>
      <c r="C524" t="s">
        <v>19</v>
      </c>
      <c r="D524" s="1" t="str">
        <v>Male</v>
      </c>
      <c r="E524">
        <v>2</v>
      </c>
      <c r="F524" t="s">
        <v>22</v>
      </c>
      <c r="G524" t="s">
        <v>24</v>
      </c>
      <c r="H524" t="s">
        <v>24</v>
      </c>
      <c r="I524">
        <v>7119</v>
      </c>
      <c r="J524" s="2" t="s">
        <v>42</v>
      </c>
      <c r="K524" s="1" t="str">
        <f t="shared" si="24"/>
        <v>Clean</v>
      </c>
      <c r="L524" s="1" t="b">
        <v>1</v>
      </c>
      <c r="M524" s="1" t="str">
        <f t="shared" si="25"/>
        <v>Valid</v>
      </c>
      <c r="N524">
        <v>48</v>
      </c>
      <c r="O524" s="1" t="str">
        <f t="shared" si="26"/>
        <v>Valid</v>
      </c>
      <c r="P524" t="s">
        <v>13</v>
      </c>
      <c r="Q524" s="1" t="str">
        <v>Furniture/Equipment</v>
      </c>
      <c r="R524">
        <v>2</v>
      </c>
      <c r="S524" s="2" t="s">
        <v>35</v>
      </c>
    </row>
    <row r="525" spans="1:19" x14ac:dyDescent="0.35">
      <c r="A525">
        <v>23</v>
      </c>
      <c r="B525" s="2" t="s">
        <v>38</v>
      </c>
      <c r="C525" t="s">
        <v>20</v>
      </c>
      <c r="D525" s="1" t="str">
        <v>Female</v>
      </c>
      <c r="E525">
        <v>2</v>
      </c>
      <c r="F525" t="s">
        <v>21</v>
      </c>
      <c r="G525" t="s">
        <v>27</v>
      </c>
      <c r="H525" t="s">
        <v>10</v>
      </c>
      <c r="I525">
        <v>3488</v>
      </c>
      <c r="J525" s="2" t="s">
        <v>43</v>
      </c>
      <c r="K525" s="1" t="str">
        <f t="shared" si="24"/>
        <v>Clean</v>
      </c>
      <c r="L525" s="1" t="b">
        <v>1</v>
      </c>
      <c r="M525" s="1" t="str">
        <f t="shared" si="25"/>
        <v>Valid</v>
      </c>
      <c r="N525">
        <v>24</v>
      </c>
      <c r="O525" s="1" t="str">
        <f t="shared" si="26"/>
        <v>Valid</v>
      </c>
      <c r="P525" t="s">
        <v>14</v>
      </c>
      <c r="Q525" s="1" t="str">
        <v>Car</v>
      </c>
      <c r="R525">
        <v>1</v>
      </c>
      <c r="S525" s="2" t="s">
        <v>34</v>
      </c>
    </row>
    <row r="526" spans="1:19" x14ac:dyDescent="0.35">
      <c r="A526">
        <v>26</v>
      </c>
      <c r="B526" s="2" t="s">
        <v>38</v>
      </c>
      <c r="C526" t="s">
        <v>20</v>
      </c>
      <c r="D526" s="1" t="str">
        <v>Female</v>
      </c>
      <c r="E526">
        <v>1</v>
      </c>
      <c r="F526" t="s">
        <v>21</v>
      </c>
      <c r="G526" t="s">
        <v>24</v>
      </c>
      <c r="H526" t="s">
        <v>27</v>
      </c>
      <c r="I526">
        <v>1113</v>
      </c>
      <c r="J526" s="2" t="s">
        <v>41</v>
      </c>
      <c r="K526" s="1" t="str">
        <f t="shared" si="24"/>
        <v>Has Spaces</v>
      </c>
      <c r="L526" s="1" t="b">
        <v>1</v>
      </c>
      <c r="M526" s="1" t="str">
        <f t="shared" si="25"/>
        <v>Valid</v>
      </c>
      <c r="N526">
        <v>18</v>
      </c>
      <c r="O526" s="1" t="str">
        <f t="shared" si="26"/>
        <v>Valid</v>
      </c>
      <c r="P526" t="s">
        <v>11</v>
      </c>
      <c r="Q526" s="1" t="str">
        <v>Radio/Tv</v>
      </c>
      <c r="R526">
        <v>1</v>
      </c>
      <c r="S526" s="2" t="s">
        <v>34</v>
      </c>
    </row>
    <row r="527" spans="1:19" x14ac:dyDescent="0.35">
      <c r="A527">
        <v>30</v>
      </c>
      <c r="B527" s="2" t="s">
        <v>39</v>
      </c>
      <c r="C527" t="s">
        <v>19</v>
      </c>
      <c r="D527" s="1" t="str">
        <v>Male</v>
      </c>
      <c r="E527">
        <v>2</v>
      </c>
      <c r="F527" t="s">
        <v>21</v>
      </c>
      <c r="G527" t="s">
        <v>24</v>
      </c>
      <c r="H527" t="s">
        <v>27</v>
      </c>
      <c r="I527">
        <v>7966</v>
      </c>
      <c r="J527" s="2" t="s">
        <v>42</v>
      </c>
      <c r="K527" s="1" t="str">
        <f t="shared" si="24"/>
        <v>Clean</v>
      </c>
      <c r="L527" s="1" t="b">
        <v>1</v>
      </c>
      <c r="M527" s="1" t="str">
        <f t="shared" si="25"/>
        <v>Valid</v>
      </c>
      <c r="N527">
        <v>26</v>
      </c>
      <c r="O527" s="1" t="str">
        <f t="shared" si="26"/>
        <v>Valid</v>
      </c>
      <c r="P527" t="s">
        <v>14</v>
      </c>
      <c r="Q527" s="1" t="str">
        <v>Car</v>
      </c>
      <c r="R527">
        <v>1</v>
      </c>
      <c r="S527" s="2" t="s">
        <v>34</v>
      </c>
    </row>
    <row r="528" spans="1:19" x14ac:dyDescent="0.35">
      <c r="A528">
        <v>31</v>
      </c>
      <c r="B528" s="2" t="s">
        <v>39</v>
      </c>
      <c r="C528" t="s">
        <v>20</v>
      </c>
      <c r="D528" s="1" t="str">
        <v>Female</v>
      </c>
      <c r="E528">
        <v>2</v>
      </c>
      <c r="F528" t="s">
        <v>21</v>
      </c>
      <c r="G528" t="s">
        <v>27</v>
      </c>
      <c r="H528" t="s">
        <v>10</v>
      </c>
      <c r="I528">
        <v>1532</v>
      </c>
      <c r="J528" s="2" t="s">
        <v>41</v>
      </c>
      <c r="K528" s="1" t="str">
        <f t="shared" si="24"/>
        <v>Has Spaces</v>
      </c>
      <c r="L528" s="1" t="b">
        <v>1</v>
      </c>
      <c r="M528" s="1" t="str">
        <f t="shared" si="25"/>
        <v>Valid</v>
      </c>
      <c r="N528">
        <v>15</v>
      </c>
      <c r="O528" s="1" t="str">
        <f t="shared" si="26"/>
        <v>Valid</v>
      </c>
      <c r="P528" t="s">
        <v>12</v>
      </c>
      <c r="Q528" s="1" t="str">
        <v>Education</v>
      </c>
      <c r="R528">
        <v>1</v>
      </c>
      <c r="S528" s="2" t="s">
        <v>34</v>
      </c>
    </row>
    <row r="529" spans="1:19" x14ac:dyDescent="0.35">
      <c r="A529">
        <v>42</v>
      </c>
      <c r="B529" s="2" t="s">
        <v>39</v>
      </c>
      <c r="C529" t="s">
        <v>19</v>
      </c>
      <c r="D529" s="1" t="str">
        <v>Male</v>
      </c>
      <c r="E529">
        <v>1</v>
      </c>
      <c r="F529" t="s">
        <v>21</v>
      </c>
      <c r="G529" t="s">
        <v>24</v>
      </c>
      <c r="H529" t="s">
        <v>10</v>
      </c>
      <c r="I529">
        <v>1503</v>
      </c>
      <c r="J529" s="2" t="s">
        <v>41</v>
      </c>
      <c r="K529" s="1" t="str">
        <f t="shared" si="24"/>
        <v>Has Spaces</v>
      </c>
      <c r="L529" s="1" t="b">
        <v>1</v>
      </c>
      <c r="M529" s="1" t="str">
        <f t="shared" si="25"/>
        <v>Valid</v>
      </c>
      <c r="N529">
        <v>4</v>
      </c>
      <c r="O529" s="1" t="str">
        <f t="shared" si="26"/>
        <v>Valid</v>
      </c>
      <c r="P529" t="s">
        <v>11</v>
      </c>
      <c r="Q529" s="1" t="str">
        <v>Radio/Tv</v>
      </c>
      <c r="R529">
        <v>1</v>
      </c>
      <c r="S529" s="2" t="s">
        <v>34</v>
      </c>
    </row>
    <row r="530" spans="1:19" x14ac:dyDescent="0.35">
      <c r="A530">
        <v>31</v>
      </c>
      <c r="B530" s="2" t="s">
        <v>39</v>
      </c>
      <c r="C530" t="s">
        <v>19</v>
      </c>
      <c r="D530" s="1" t="str">
        <v>Male</v>
      </c>
      <c r="E530">
        <v>2</v>
      </c>
      <c r="F530" t="s">
        <v>23</v>
      </c>
      <c r="G530" t="s">
        <v>24</v>
      </c>
      <c r="H530" t="s">
        <v>24</v>
      </c>
      <c r="I530">
        <v>2302</v>
      </c>
      <c r="J530" s="2" t="s">
        <v>43</v>
      </c>
      <c r="K530" s="1" t="str">
        <f t="shared" si="24"/>
        <v>Clean</v>
      </c>
      <c r="L530" s="1" t="b">
        <v>1</v>
      </c>
      <c r="M530" s="1" t="str">
        <f t="shared" si="25"/>
        <v>Valid</v>
      </c>
      <c r="N530">
        <v>36</v>
      </c>
      <c r="O530" s="1" t="str">
        <f t="shared" si="26"/>
        <v>Valid</v>
      </c>
      <c r="P530" t="s">
        <v>11</v>
      </c>
      <c r="Q530" s="1" t="str">
        <v>Radio/Tv</v>
      </c>
      <c r="R530">
        <v>2</v>
      </c>
      <c r="S530" s="2" t="s">
        <v>35</v>
      </c>
    </row>
    <row r="531" spans="1:19" x14ac:dyDescent="0.35">
      <c r="A531">
        <v>41</v>
      </c>
      <c r="B531" s="2" t="s">
        <v>39</v>
      </c>
      <c r="C531" t="s">
        <v>19</v>
      </c>
      <c r="D531" s="1" t="str">
        <v>Male</v>
      </c>
      <c r="E531">
        <v>1</v>
      </c>
      <c r="F531" t="s">
        <v>21</v>
      </c>
      <c r="G531" t="s">
        <v>24</v>
      </c>
      <c r="H531" t="s">
        <v>24</v>
      </c>
      <c r="I531">
        <v>662</v>
      </c>
      <c r="J531" s="2" t="s">
        <v>41</v>
      </c>
      <c r="K531" s="1" t="str">
        <f t="shared" si="24"/>
        <v>Has Spaces</v>
      </c>
      <c r="L531" s="1" t="b">
        <v>1</v>
      </c>
      <c r="M531" s="1" t="str">
        <f t="shared" si="25"/>
        <v>Valid</v>
      </c>
      <c r="N531">
        <v>6</v>
      </c>
      <c r="O531" s="1" t="str">
        <f t="shared" si="26"/>
        <v>Valid</v>
      </c>
      <c r="P531" t="s">
        <v>14</v>
      </c>
      <c r="Q531" s="1" t="str">
        <v>Car</v>
      </c>
      <c r="R531">
        <v>1</v>
      </c>
      <c r="S531" s="2" t="s">
        <v>34</v>
      </c>
    </row>
    <row r="532" spans="1:19" x14ac:dyDescent="0.35">
      <c r="A532">
        <v>32</v>
      </c>
      <c r="B532" s="2" t="s">
        <v>39</v>
      </c>
      <c r="C532" t="s">
        <v>19</v>
      </c>
      <c r="D532" s="1" t="str">
        <v>Male</v>
      </c>
      <c r="E532">
        <v>2</v>
      </c>
      <c r="F532" t="s">
        <v>21</v>
      </c>
      <c r="G532" t="s">
        <v>24</v>
      </c>
      <c r="H532" t="s">
        <v>27</v>
      </c>
      <c r="I532">
        <v>2273</v>
      </c>
      <c r="J532" s="2" t="s">
        <v>43</v>
      </c>
      <c r="K532" s="1" t="str">
        <f t="shared" si="24"/>
        <v>Clean</v>
      </c>
      <c r="L532" s="1" t="b">
        <v>1</v>
      </c>
      <c r="M532" s="1" t="str">
        <f t="shared" si="25"/>
        <v>Valid</v>
      </c>
      <c r="N532">
        <v>36</v>
      </c>
      <c r="O532" s="1" t="str">
        <f t="shared" si="26"/>
        <v>Valid</v>
      </c>
      <c r="P532" t="s">
        <v>12</v>
      </c>
      <c r="Q532" s="1" t="str">
        <v>Education</v>
      </c>
      <c r="R532">
        <v>1</v>
      </c>
      <c r="S532" s="2" t="s">
        <v>34</v>
      </c>
    </row>
    <row r="533" spans="1:19" x14ac:dyDescent="0.35">
      <c r="A533">
        <v>28</v>
      </c>
      <c r="B533" s="2" t="s">
        <v>38</v>
      </c>
      <c r="C533" t="s">
        <v>20</v>
      </c>
      <c r="D533" s="1" t="str">
        <v>Female</v>
      </c>
      <c r="E533">
        <v>2</v>
      </c>
      <c r="F533" t="s">
        <v>23</v>
      </c>
      <c r="G533" t="s">
        <v>27</v>
      </c>
      <c r="H533" t="s">
        <v>27</v>
      </c>
      <c r="I533">
        <v>2631</v>
      </c>
      <c r="J533" s="2" t="s">
        <v>43</v>
      </c>
      <c r="K533" s="1" t="str">
        <f t="shared" si="24"/>
        <v>Clean</v>
      </c>
      <c r="L533" s="1" t="b">
        <v>1</v>
      </c>
      <c r="M533" s="1" t="str">
        <f t="shared" si="25"/>
        <v>Valid</v>
      </c>
      <c r="N533">
        <v>15</v>
      </c>
      <c r="O533" s="1" t="str">
        <f t="shared" si="26"/>
        <v>Valid</v>
      </c>
      <c r="P533" t="s">
        <v>14</v>
      </c>
      <c r="Q533" s="1" t="str">
        <v>Car</v>
      </c>
      <c r="R533">
        <v>2</v>
      </c>
      <c r="S533" s="2" t="s">
        <v>35</v>
      </c>
    </row>
    <row r="534" spans="1:19" x14ac:dyDescent="0.35">
      <c r="A534">
        <v>41</v>
      </c>
      <c r="B534" s="2" t="s">
        <v>39</v>
      </c>
      <c r="C534" t="s">
        <v>19</v>
      </c>
      <c r="D534" s="1" t="str">
        <v>Male</v>
      </c>
      <c r="E534">
        <v>2</v>
      </c>
      <c r="F534" t="s">
        <v>23</v>
      </c>
      <c r="G534" t="s">
        <v>24</v>
      </c>
      <c r="H534" t="s">
        <v>10</v>
      </c>
      <c r="I534">
        <v>1503</v>
      </c>
      <c r="J534" s="2" t="s">
        <v>41</v>
      </c>
      <c r="K534" s="1" t="str">
        <f t="shared" si="24"/>
        <v>Has Spaces</v>
      </c>
      <c r="L534" s="1" t="b">
        <v>1</v>
      </c>
      <c r="M534" s="1" t="str">
        <f t="shared" si="25"/>
        <v>Valid</v>
      </c>
      <c r="N534">
        <v>12</v>
      </c>
      <c r="O534" s="1" t="str">
        <f t="shared" si="26"/>
        <v>Valid</v>
      </c>
      <c r="P534" t="s">
        <v>14</v>
      </c>
      <c r="Q534" s="1" t="str">
        <v>Car</v>
      </c>
      <c r="R534">
        <v>1</v>
      </c>
      <c r="S534" s="2" t="s">
        <v>34</v>
      </c>
    </row>
    <row r="535" spans="1:19" x14ac:dyDescent="0.35">
      <c r="A535">
        <v>26</v>
      </c>
      <c r="B535" s="2" t="s">
        <v>38</v>
      </c>
      <c r="C535" t="s">
        <v>19</v>
      </c>
      <c r="D535" s="1" t="str">
        <v>Male</v>
      </c>
      <c r="E535">
        <v>2</v>
      </c>
      <c r="F535" t="s">
        <v>21</v>
      </c>
      <c r="G535" t="s">
        <v>27</v>
      </c>
      <c r="H535" t="s">
        <v>10</v>
      </c>
      <c r="I535">
        <v>1311</v>
      </c>
      <c r="J535" s="2" t="s">
        <v>41</v>
      </c>
      <c r="K535" s="1" t="str">
        <f t="shared" si="24"/>
        <v>Has Spaces</v>
      </c>
      <c r="L535" s="1" t="b">
        <v>1</v>
      </c>
      <c r="M535" s="1" t="str">
        <f t="shared" si="25"/>
        <v>Valid</v>
      </c>
      <c r="N535">
        <v>24</v>
      </c>
      <c r="O535" s="1" t="str">
        <f t="shared" si="26"/>
        <v>Valid</v>
      </c>
      <c r="P535" t="s">
        <v>11</v>
      </c>
      <c r="Q535" s="1" t="str">
        <v>Radio/Tv</v>
      </c>
      <c r="R535">
        <v>1</v>
      </c>
      <c r="S535" s="2" t="s">
        <v>34</v>
      </c>
    </row>
    <row r="536" spans="1:19" x14ac:dyDescent="0.35">
      <c r="A536">
        <v>25</v>
      </c>
      <c r="B536" s="2" t="s">
        <v>38</v>
      </c>
      <c r="C536" t="s">
        <v>19</v>
      </c>
      <c r="D536" s="1" t="str">
        <v>Male</v>
      </c>
      <c r="E536">
        <v>2</v>
      </c>
      <c r="F536" t="s">
        <v>21</v>
      </c>
      <c r="G536" t="s">
        <v>10</v>
      </c>
      <c r="H536" t="s">
        <v>10</v>
      </c>
      <c r="I536">
        <v>3105</v>
      </c>
      <c r="J536" s="2" t="s">
        <v>43</v>
      </c>
      <c r="K536" s="1" t="str">
        <f t="shared" si="24"/>
        <v>Clean</v>
      </c>
      <c r="L536" s="1" t="b">
        <v>1</v>
      </c>
      <c r="M536" s="1" t="str">
        <f t="shared" si="25"/>
        <v>Valid</v>
      </c>
      <c r="N536">
        <v>24</v>
      </c>
      <c r="O536" s="1" t="str">
        <f t="shared" si="26"/>
        <v>Valid</v>
      </c>
      <c r="P536" t="s">
        <v>11</v>
      </c>
      <c r="Q536" s="1" t="str">
        <v>Radio/Tv</v>
      </c>
      <c r="R536">
        <v>1</v>
      </c>
      <c r="S536" s="2" t="s">
        <v>34</v>
      </c>
    </row>
    <row r="537" spans="1:19" x14ac:dyDescent="0.35">
      <c r="A537">
        <v>33</v>
      </c>
      <c r="B537" s="2" t="s">
        <v>39</v>
      </c>
      <c r="C537" t="s">
        <v>19</v>
      </c>
      <c r="D537" s="1" t="str">
        <v>Male</v>
      </c>
      <c r="E537">
        <v>2</v>
      </c>
      <c r="F537" t="s">
        <v>23</v>
      </c>
      <c r="G537" t="s">
        <v>24</v>
      </c>
      <c r="H537" t="s">
        <v>26</v>
      </c>
      <c r="I537">
        <v>2319</v>
      </c>
      <c r="J537" s="2" t="s">
        <v>43</v>
      </c>
      <c r="K537" s="1" t="str">
        <f t="shared" si="24"/>
        <v>Clean</v>
      </c>
      <c r="L537" s="1" t="b">
        <v>1</v>
      </c>
      <c r="M537" s="1" t="str">
        <f t="shared" si="25"/>
        <v>Valid</v>
      </c>
      <c r="N537">
        <v>21</v>
      </c>
      <c r="O537" s="1" t="str">
        <f t="shared" si="26"/>
        <v>Valid</v>
      </c>
      <c r="P537" t="s">
        <v>12</v>
      </c>
      <c r="Q537" s="1" t="str">
        <v>Education</v>
      </c>
      <c r="R537">
        <v>2</v>
      </c>
      <c r="S537" s="2" t="s">
        <v>35</v>
      </c>
    </row>
    <row r="538" spans="1:19" x14ac:dyDescent="0.35">
      <c r="A538">
        <v>75</v>
      </c>
      <c r="B538" s="2" t="s">
        <v>37</v>
      </c>
      <c r="C538" t="s">
        <v>20</v>
      </c>
      <c r="D538" s="1" t="str">
        <v>Female</v>
      </c>
      <c r="E538">
        <v>3</v>
      </c>
      <c r="F538" t="s">
        <v>21</v>
      </c>
      <c r="G538" t="s">
        <v>10</v>
      </c>
      <c r="H538" t="s">
        <v>24</v>
      </c>
      <c r="I538">
        <v>1374</v>
      </c>
      <c r="J538" s="2" t="s">
        <v>41</v>
      </c>
      <c r="K538" s="1" t="str">
        <f t="shared" si="24"/>
        <v>Has Spaces</v>
      </c>
      <c r="L538" s="1" t="b">
        <v>1</v>
      </c>
      <c r="M538" s="1" t="str">
        <f t="shared" si="25"/>
        <v>Valid</v>
      </c>
      <c r="N538">
        <v>6</v>
      </c>
      <c r="O538" s="1" t="str">
        <f t="shared" si="26"/>
        <v>Valid</v>
      </c>
      <c r="P538" t="s">
        <v>14</v>
      </c>
      <c r="Q538" s="1" t="str">
        <v>Car</v>
      </c>
      <c r="R538">
        <v>1</v>
      </c>
      <c r="S538" s="2" t="s">
        <v>34</v>
      </c>
    </row>
    <row r="539" spans="1:19" x14ac:dyDescent="0.35">
      <c r="A539">
        <v>37</v>
      </c>
      <c r="B539" s="2" t="s">
        <v>39</v>
      </c>
      <c r="C539" t="s">
        <v>20</v>
      </c>
      <c r="D539" s="1" t="str">
        <v>Female</v>
      </c>
      <c r="E539">
        <v>2</v>
      </c>
      <c r="F539" t="s">
        <v>21</v>
      </c>
      <c r="G539" t="s">
        <v>24</v>
      </c>
      <c r="H539" t="s">
        <v>27</v>
      </c>
      <c r="I539">
        <v>3612</v>
      </c>
      <c r="J539" s="2" t="s">
        <v>43</v>
      </c>
      <c r="K539" s="1" t="str">
        <f t="shared" si="24"/>
        <v>Clean</v>
      </c>
      <c r="L539" s="1" t="b">
        <v>1</v>
      </c>
      <c r="M539" s="1" t="str">
        <f t="shared" si="25"/>
        <v>Valid</v>
      </c>
      <c r="N539">
        <v>18</v>
      </c>
      <c r="O539" s="1" t="str">
        <f t="shared" si="26"/>
        <v>Valid</v>
      </c>
      <c r="P539" t="s">
        <v>13</v>
      </c>
      <c r="Q539" s="1" t="str">
        <v>Furniture/Equipment</v>
      </c>
      <c r="R539">
        <v>1</v>
      </c>
      <c r="S539" s="2" t="s">
        <v>34</v>
      </c>
    </row>
    <row r="540" spans="1:19" x14ac:dyDescent="0.35">
      <c r="A540">
        <v>42</v>
      </c>
      <c r="B540" s="2" t="s">
        <v>39</v>
      </c>
      <c r="C540" t="s">
        <v>19</v>
      </c>
      <c r="D540" s="1" t="str">
        <v>Male</v>
      </c>
      <c r="E540">
        <v>3</v>
      </c>
      <c r="F540" t="s">
        <v>22</v>
      </c>
      <c r="G540" t="s">
        <v>24</v>
      </c>
      <c r="H540" t="s">
        <v>24</v>
      </c>
      <c r="I540">
        <v>7763</v>
      </c>
      <c r="J540" s="2" t="s">
        <v>42</v>
      </c>
      <c r="K540" s="1" t="str">
        <f t="shared" si="24"/>
        <v>Clean</v>
      </c>
      <c r="L540" s="1" t="b">
        <v>1</v>
      </c>
      <c r="M540" s="1" t="str">
        <f t="shared" si="25"/>
        <v>Valid</v>
      </c>
      <c r="N540">
        <v>48</v>
      </c>
      <c r="O540" s="1" t="str">
        <f t="shared" si="26"/>
        <v>Valid</v>
      </c>
      <c r="P540" t="s">
        <v>14</v>
      </c>
      <c r="Q540" s="1" t="str">
        <v>Car</v>
      </c>
      <c r="R540">
        <v>2</v>
      </c>
      <c r="S540" s="2" t="s">
        <v>35</v>
      </c>
    </row>
    <row r="541" spans="1:19" x14ac:dyDescent="0.35">
      <c r="A541">
        <v>45</v>
      </c>
      <c r="B541" s="2" t="s">
        <v>39</v>
      </c>
      <c r="C541" t="s">
        <v>20</v>
      </c>
      <c r="D541" s="1" t="str">
        <v>Female</v>
      </c>
      <c r="E541">
        <v>1</v>
      </c>
      <c r="F541" t="s">
        <v>21</v>
      </c>
      <c r="G541" t="s">
        <v>24</v>
      </c>
      <c r="H541" t="s">
        <v>26</v>
      </c>
      <c r="I541">
        <v>3049</v>
      </c>
      <c r="J541" s="2" t="s">
        <v>43</v>
      </c>
      <c r="K541" s="1" t="str">
        <f t="shared" si="24"/>
        <v>Clean</v>
      </c>
      <c r="L541" s="1" t="b">
        <v>1</v>
      </c>
      <c r="M541" s="1" t="str">
        <f t="shared" si="25"/>
        <v>Valid</v>
      </c>
      <c r="N541">
        <v>18</v>
      </c>
      <c r="O541" s="1" t="str">
        <f t="shared" si="26"/>
        <v>Valid</v>
      </c>
      <c r="P541" t="s">
        <v>13</v>
      </c>
      <c r="Q541" s="1" t="str">
        <v>Furniture/Equipment</v>
      </c>
      <c r="R541">
        <v>1</v>
      </c>
      <c r="S541" s="2" t="s">
        <v>34</v>
      </c>
    </row>
    <row r="542" spans="1:19" x14ac:dyDescent="0.35">
      <c r="A542">
        <v>23</v>
      </c>
      <c r="B542" s="2" t="s">
        <v>38</v>
      </c>
      <c r="C542" t="s">
        <v>19</v>
      </c>
      <c r="D542" s="1" t="str">
        <v>Male</v>
      </c>
      <c r="E542">
        <v>2</v>
      </c>
      <c r="F542" t="s">
        <v>23</v>
      </c>
      <c r="G542" t="s">
        <v>24</v>
      </c>
      <c r="H542" t="s">
        <v>27</v>
      </c>
      <c r="I542">
        <v>1534</v>
      </c>
      <c r="J542" s="2" t="s">
        <v>41</v>
      </c>
      <c r="K542" s="1" t="str">
        <f t="shared" si="24"/>
        <v>Has Spaces</v>
      </c>
      <c r="L542" s="1" t="b">
        <v>1</v>
      </c>
      <c r="M542" s="1" t="str">
        <f t="shared" si="25"/>
        <v>Valid</v>
      </c>
      <c r="N542">
        <v>12</v>
      </c>
      <c r="O542" s="1" t="str">
        <f t="shared" si="26"/>
        <v>Valid</v>
      </c>
      <c r="P542" t="s">
        <v>11</v>
      </c>
      <c r="Q542" s="1" t="str">
        <v>Radio/Tv</v>
      </c>
      <c r="R542">
        <v>2</v>
      </c>
      <c r="S542" s="2" t="s">
        <v>35</v>
      </c>
    </row>
    <row r="543" spans="1:19" x14ac:dyDescent="0.35">
      <c r="A543">
        <v>60</v>
      </c>
      <c r="B543" s="2" t="s">
        <v>37</v>
      </c>
      <c r="C543" t="s">
        <v>19</v>
      </c>
      <c r="D543" s="1" t="str">
        <v>Male</v>
      </c>
      <c r="E543">
        <v>2</v>
      </c>
      <c r="F543" t="s">
        <v>22</v>
      </c>
      <c r="G543" t="s">
        <v>24</v>
      </c>
      <c r="H543" t="s">
        <v>10</v>
      </c>
      <c r="I543">
        <v>2032</v>
      </c>
      <c r="J543" s="2" t="s">
        <v>43</v>
      </c>
      <c r="K543" s="1" t="str">
        <f t="shared" si="24"/>
        <v>Clean</v>
      </c>
      <c r="L543" s="1" t="b">
        <v>1</v>
      </c>
      <c r="M543" s="1" t="str">
        <f t="shared" si="25"/>
        <v>Valid</v>
      </c>
      <c r="N543">
        <v>24</v>
      </c>
      <c r="O543" s="1" t="str">
        <f t="shared" si="26"/>
        <v>Valid</v>
      </c>
      <c r="P543" t="s">
        <v>14</v>
      </c>
      <c r="Q543" s="1" t="str">
        <v>Car</v>
      </c>
      <c r="R543">
        <v>1</v>
      </c>
      <c r="S543" s="2" t="s">
        <v>34</v>
      </c>
    </row>
    <row r="544" spans="1:19" x14ac:dyDescent="0.35">
      <c r="A544">
        <v>31</v>
      </c>
      <c r="B544" s="2" t="s">
        <v>39</v>
      </c>
      <c r="C544" t="s">
        <v>19</v>
      </c>
      <c r="D544" s="1" t="str">
        <v>Male</v>
      </c>
      <c r="E544">
        <v>2</v>
      </c>
      <c r="F544" t="s">
        <v>21</v>
      </c>
      <c r="G544" t="s">
        <v>10</v>
      </c>
      <c r="H544" t="s">
        <v>24</v>
      </c>
      <c r="I544">
        <v>6350</v>
      </c>
      <c r="J544" s="2" t="s">
        <v>42</v>
      </c>
      <c r="K544" s="1" t="str">
        <f t="shared" si="24"/>
        <v>Clean</v>
      </c>
      <c r="L544" s="1" t="b">
        <v>1</v>
      </c>
      <c r="M544" s="1" t="str">
        <f t="shared" si="25"/>
        <v>Valid</v>
      </c>
      <c r="N544">
        <v>30</v>
      </c>
      <c r="O544" s="1" t="str">
        <f t="shared" si="26"/>
        <v>Valid</v>
      </c>
      <c r="P544" t="s">
        <v>13</v>
      </c>
      <c r="Q544" s="1" t="str">
        <v>Furniture/Equipment</v>
      </c>
      <c r="R544">
        <v>2</v>
      </c>
      <c r="S544" s="2" t="s">
        <v>35</v>
      </c>
    </row>
    <row r="545" spans="1:19" x14ac:dyDescent="0.35">
      <c r="A545">
        <v>34</v>
      </c>
      <c r="B545" s="2" t="s">
        <v>39</v>
      </c>
      <c r="C545" t="s">
        <v>19</v>
      </c>
      <c r="D545" s="1" t="str">
        <v>Male</v>
      </c>
      <c r="E545">
        <v>1</v>
      </c>
      <c r="F545" t="s">
        <v>21</v>
      </c>
      <c r="G545" t="s">
        <v>24</v>
      </c>
      <c r="H545" t="s">
        <v>26</v>
      </c>
      <c r="I545">
        <v>2864</v>
      </c>
      <c r="J545" s="2" t="s">
        <v>43</v>
      </c>
      <c r="K545" s="1" t="str">
        <f t="shared" si="24"/>
        <v>Clean</v>
      </c>
      <c r="L545" s="1" t="b">
        <v>1</v>
      </c>
      <c r="M545" s="1" t="str">
        <f t="shared" si="25"/>
        <v>Valid</v>
      </c>
      <c r="N545">
        <v>18</v>
      </c>
      <c r="O545" s="1" t="str">
        <f t="shared" si="26"/>
        <v>Valid</v>
      </c>
      <c r="P545" t="s">
        <v>13</v>
      </c>
      <c r="Q545" s="1" t="str">
        <v>Furniture/Equipment</v>
      </c>
      <c r="R545">
        <v>2</v>
      </c>
      <c r="S545" s="2" t="s">
        <v>35</v>
      </c>
    </row>
    <row r="546" spans="1:19" x14ac:dyDescent="0.35">
      <c r="A546">
        <v>61</v>
      </c>
      <c r="B546" s="2" t="s">
        <v>37</v>
      </c>
      <c r="C546" t="s">
        <v>19</v>
      </c>
      <c r="D546" s="1" t="str">
        <v>Male</v>
      </c>
      <c r="E546">
        <v>1</v>
      </c>
      <c r="F546" t="s">
        <v>21</v>
      </c>
      <c r="G546" t="s">
        <v>24</v>
      </c>
      <c r="H546" t="s">
        <v>10</v>
      </c>
      <c r="I546">
        <v>1255</v>
      </c>
      <c r="J546" s="2" t="s">
        <v>41</v>
      </c>
      <c r="K546" s="1" t="str">
        <f t="shared" si="24"/>
        <v>Has Spaces</v>
      </c>
      <c r="L546" s="1" t="b">
        <v>1</v>
      </c>
      <c r="M546" s="1" t="str">
        <f t="shared" si="25"/>
        <v>Valid</v>
      </c>
      <c r="N546">
        <v>12</v>
      </c>
      <c r="O546" s="1" t="str">
        <f t="shared" si="26"/>
        <v>Valid</v>
      </c>
      <c r="P546" t="s">
        <v>14</v>
      </c>
      <c r="Q546" s="1" t="str">
        <v>Car</v>
      </c>
      <c r="R546">
        <v>1</v>
      </c>
      <c r="S546" s="2" t="s">
        <v>34</v>
      </c>
    </row>
    <row r="547" spans="1:19" x14ac:dyDescent="0.35">
      <c r="A547">
        <v>43</v>
      </c>
      <c r="B547" s="2" t="s">
        <v>39</v>
      </c>
      <c r="C547" t="s">
        <v>19</v>
      </c>
      <c r="D547" s="1" t="str">
        <v>Male</v>
      </c>
      <c r="E547">
        <v>2</v>
      </c>
      <c r="F547" t="s">
        <v>22</v>
      </c>
      <c r="G547" t="s">
        <v>24</v>
      </c>
      <c r="H547" t="s">
        <v>24</v>
      </c>
      <c r="I547">
        <v>1333</v>
      </c>
      <c r="J547" s="2" t="s">
        <v>41</v>
      </c>
      <c r="K547" s="1" t="str">
        <f t="shared" si="24"/>
        <v>Has Spaces</v>
      </c>
      <c r="L547" s="1" t="b">
        <v>1</v>
      </c>
      <c r="M547" s="1" t="str">
        <f t="shared" si="25"/>
        <v>Valid</v>
      </c>
      <c r="N547">
        <v>24</v>
      </c>
      <c r="O547" s="1" t="str">
        <f t="shared" si="26"/>
        <v>Valid</v>
      </c>
      <c r="P547" t="s">
        <v>14</v>
      </c>
      <c r="Q547" s="1" t="str">
        <v>Car</v>
      </c>
      <c r="R547">
        <v>2</v>
      </c>
      <c r="S547" s="2" t="s">
        <v>35</v>
      </c>
    </row>
    <row r="548" spans="1:19" x14ac:dyDescent="0.35">
      <c r="A548">
        <v>37</v>
      </c>
      <c r="B548" s="2" t="s">
        <v>39</v>
      </c>
      <c r="C548" t="s">
        <v>20</v>
      </c>
      <c r="D548" s="1" t="str">
        <v>Female</v>
      </c>
      <c r="E548">
        <v>2</v>
      </c>
      <c r="F548" t="s">
        <v>21</v>
      </c>
      <c r="G548" t="s">
        <v>24</v>
      </c>
      <c r="H548" t="s">
        <v>10</v>
      </c>
      <c r="I548">
        <v>2022</v>
      </c>
      <c r="J548" s="2" t="s">
        <v>43</v>
      </c>
      <c r="K548" s="1" t="str">
        <f t="shared" si="24"/>
        <v>Clean</v>
      </c>
      <c r="L548" s="1" t="b">
        <v>1</v>
      </c>
      <c r="M548" s="1" t="str">
        <f t="shared" si="25"/>
        <v>Valid</v>
      </c>
      <c r="N548">
        <v>24</v>
      </c>
      <c r="O548" s="1" t="str">
        <f t="shared" si="26"/>
        <v>Valid</v>
      </c>
      <c r="P548" t="s">
        <v>14</v>
      </c>
      <c r="Q548" s="1" t="str">
        <v>Car</v>
      </c>
      <c r="R548">
        <v>1</v>
      </c>
      <c r="S548" s="2" t="s">
        <v>34</v>
      </c>
    </row>
    <row r="549" spans="1:19" x14ac:dyDescent="0.35">
      <c r="A549">
        <v>32</v>
      </c>
      <c r="B549" s="2" t="s">
        <v>39</v>
      </c>
      <c r="C549" t="s">
        <v>19</v>
      </c>
      <c r="D549" s="1" t="str">
        <v>Male</v>
      </c>
      <c r="E549">
        <v>2</v>
      </c>
      <c r="F549" t="s">
        <v>21</v>
      </c>
      <c r="G549" t="s">
        <v>24</v>
      </c>
      <c r="H549" t="s">
        <v>10</v>
      </c>
      <c r="I549">
        <v>1552</v>
      </c>
      <c r="J549" s="2" t="s">
        <v>41</v>
      </c>
      <c r="K549" s="1" t="str">
        <f t="shared" si="24"/>
        <v>Has Spaces</v>
      </c>
      <c r="L549" s="1" t="b">
        <v>1</v>
      </c>
      <c r="M549" s="1" t="str">
        <f t="shared" si="25"/>
        <v>Valid</v>
      </c>
      <c r="N549">
        <v>24</v>
      </c>
      <c r="O549" s="1" t="str">
        <f t="shared" si="26"/>
        <v>Valid</v>
      </c>
      <c r="P549" t="s">
        <v>11</v>
      </c>
      <c r="Q549" s="1" t="str">
        <v>Radio/Tv</v>
      </c>
      <c r="R549">
        <v>1</v>
      </c>
      <c r="S549" s="2" t="s">
        <v>34</v>
      </c>
    </row>
    <row r="550" spans="1:19" x14ac:dyDescent="0.35">
      <c r="A550">
        <v>24</v>
      </c>
      <c r="B550" s="2" t="s">
        <v>38</v>
      </c>
      <c r="C550" t="s">
        <v>20</v>
      </c>
      <c r="D550" s="1" t="str">
        <v>Female</v>
      </c>
      <c r="E550">
        <v>1</v>
      </c>
      <c r="F550" t="s">
        <v>21</v>
      </c>
      <c r="G550" t="s">
        <v>24</v>
      </c>
      <c r="H550" t="s">
        <v>24</v>
      </c>
      <c r="I550">
        <v>626</v>
      </c>
      <c r="J550" s="2" t="s">
        <v>41</v>
      </c>
      <c r="K550" s="1" t="str">
        <f t="shared" si="24"/>
        <v>Has Spaces</v>
      </c>
      <c r="L550" s="1" t="b">
        <v>1</v>
      </c>
      <c r="M550" s="1" t="str">
        <f t="shared" si="25"/>
        <v>Valid</v>
      </c>
      <c r="N550">
        <v>12</v>
      </c>
      <c r="O550" s="1" t="str">
        <f t="shared" si="26"/>
        <v>Valid</v>
      </c>
      <c r="P550" t="s">
        <v>11</v>
      </c>
      <c r="Q550" s="1" t="str">
        <v>Radio/Tv</v>
      </c>
      <c r="R550">
        <v>2</v>
      </c>
      <c r="S550" s="2" t="s">
        <v>35</v>
      </c>
    </row>
    <row r="551" spans="1:19" x14ac:dyDescent="0.35">
      <c r="A551">
        <v>35</v>
      </c>
      <c r="B551" s="2" t="s">
        <v>39</v>
      </c>
      <c r="C551" t="s">
        <v>19</v>
      </c>
      <c r="D551" s="1" t="str">
        <v>Male</v>
      </c>
      <c r="E551">
        <v>2</v>
      </c>
      <c r="F551" t="s">
        <v>22</v>
      </c>
      <c r="G551" t="s">
        <v>10</v>
      </c>
      <c r="H551" t="s">
        <v>10</v>
      </c>
      <c r="I551">
        <v>8858</v>
      </c>
      <c r="J551" s="2" t="s">
        <v>42</v>
      </c>
      <c r="K551" s="1" t="str">
        <f t="shared" si="24"/>
        <v>Clean</v>
      </c>
      <c r="L551" s="1" t="b">
        <v>1</v>
      </c>
      <c r="M551" s="1" t="str">
        <f t="shared" si="25"/>
        <v>Valid</v>
      </c>
      <c r="N551">
        <v>48</v>
      </c>
      <c r="O551" s="1" t="str">
        <f t="shared" si="26"/>
        <v>Valid</v>
      </c>
      <c r="P551" t="s">
        <v>14</v>
      </c>
      <c r="Q551" s="1" t="str">
        <v>Car</v>
      </c>
      <c r="R551">
        <v>1</v>
      </c>
      <c r="S551" s="2" t="s">
        <v>34</v>
      </c>
    </row>
    <row r="552" spans="1:19" x14ac:dyDescent="0.35">
      <c r="A552">
        <v>23</v>
      </c>
      <c r="B552" s="2" t="s">
        <v>38</v>
      </c>
      <c r="C552" t="s">
        <v>20</v>
      </c>
      <c r="D552" s="1" t="str">
        <v>Female</v>
      </c>
      <c r="E552">
        <v>2</v>
      </c>
      <c r="F552" t="s">
        <v>21</v>
      </c>
      <c r="G552" t="s">
        <v>10</v>
      </c>
      <c r="H552" t="s">
        <v>10</v>
      </c>
      <c r="I552">
        <v>996</v>
      </c>
      <c r="J552" s="2" t="s">
        <v>41</v>
      </c>
      <c r="K552" s="1" t="str">
        <f t="shared" si="24"/>
        <v>Has Spaces</v>
      </c>
      <c r="L552" s="1" t="b">
        <v>1</v>
      </c>
      <c r="M552" s="1" t="str">
        <f t="shared" si="25"/>
        <v>Valid</v>
      </c>
      <c r="N552">
        <v>12</v>
      </c>
      <c r="O552" s="1" t="str">
        <f t="shared" si="26"/>
        <v>Valid</v>
      </c>
      <c r="P552" t="s">
        <v>17</v>
      </c>
      <c r="Q552" s="1" t="str">
        <v>Repairs</v>
      </c>
      <c r="R552">
        <v>1</v>
      </c>
      <c r="S552" s="2" t="s">
        <v>34</v>
      </c>
    </row>
    <row r="553" spans="1:19" x14ac:dyDescent="0.35">
      <c r="A553">
        <v>45</v>
      </c>
      <c r="B553" s="2" t="s">
        <v>39</v>
      </c>
      <c r="C553" t="s">
        <v>19</v>
      </c>
      <c r="D553" s="1" t="str">
        <v>Male</v>
      </c>
      <c r="E553">
        <v>1</v>
      </c>
      <c r="F553" t="s">
        <v>21</v>
      </c>
      <c r="G553" t="s">
        <v>25</v>
      </c>
      <c r="H553" t="s">
        <v>10</v>
      </c>
      <c r="I553">
        <v>1750</v>
      </c>
      <c r="J553" s="2" t="s">
        <v>41</v>
      </c>
      <c r="K553" s="1" t="str">
        <f t="shared" si="24"/>
        <v>Has Spaces</v>
      </c>
      <c r="L553" s="1" t="b">
        <v>1</v>
      </c>
      <c r="M553" s="1" t="str">
        <f t="shared" si="25"/>
        <v>Valid</v>
      </c>
      <c r="N553">
        <v>6</v>
      </c>
      <c r="O553" s="1" t="str">
        <f t="shared" si="26"/>
        <v>Valid</v>
      </c>
      <c r="P553" t="s">
        <v>11</v>
      </c>
      <c r="Q553" s="1" t="str">
        <v>Radio/Tv</v>
      </c>
      <c r="R553">
        <v>1</v>
      </c>
      <c r="S553" s="2" t="s">
        <v>34</v>
      </c>
    </row>
    <row r="554" spans="1:19" x14ac:dyDescent="0.35">
      <c r="A554">
        <v>34</v>
      </c>
      <c r="B554" s="2" t="s">
        <v>39</v>
      </c>
      <c r="C554" t="s">
        <v>19</v>
      </c>
      <c r="D554" s="1" t="str">
        <v>Male</v>
      </c>
      <c r="E554">
        <v>2</v>
      </c>
      <c r="F554" t="s">
        <v>21</v>
      </c>
      <c r="G554" t="s">
        <v>24</v>
      </c>
      <c r="H554" t="s">
        <v>24</v>
      </c>
      <c r="I554">
        <v>6999</v>
      </c>
      <c r="J554" s="2" t="s">
        <v>42</v>
      </c>
      <c r="K554" s="1" t="str">
        <f t="shared" si="24"/>
        <v>Clean</v>
      </c>
      <c r="L554" s="1" t="b">
        <v>1</v>
      </c>
      <c r="M554" s="1" t="str">
        <f t="shared" si="25"/>
        <v>Valid</v>
      </c>
      <c r="N554">
        <v>48</v>
      </c>
      <c r="O554" s="1" t="str">
        <f t="shared" si="26"/>
        <v>Valid</v>
      </c>
      <c r="P554" t="s">
        <v>11</v>
      </c>
      <c r="Q554" s="1" t="str">
        <v>Radio/Tv</v>
      </c>
      <c r="R554">
        <v>2</v>
      </c>
      <c r="S554" s="2" t="s">
        <v>35</v>
      </c>
    </row>
    <row r="555" spans="1:19" x14ac:dyDescent="0.35">
      <c r="A555">
        <v>27</v>
      </c>
      <c r="B555" s="2" t="s">
        <v>38</v>
      </c>
      <c r="C555" t="s">
        <v>19</v>
      </c>
      <c r="D555" s="1" t="str">
        <v>Male</v>
      </c>
      <c r="E555">
        <v>2</v>
      </c>
      <c r="F555" t="s">
        <v>21</v>
      </c>
      <c r="G555" t="s">
        <v>27</v>
      </c>
      <c r="H555" t="s">
        <v>27</v>
      </c>
      <c r="I555">
        <v>1995</v>
      </c>
      <c r="J555" s="2" t="s">
        <v>41</v>
      </c>
      <c r="K555" s="1" t="str">
        <f t="shared" si="24"/>
        <v>Has Spaces</v>
      </c>
      <c r="L555" s="1" t="b">
        <v>1</v>
      </c>
      <c r="M555" s="1" t="str">
        <f t="shared" si="25"/>
        <v>Valid</v>
      </c>
      <c r="N555">
        <v>12</v>
      </c>
      <c r="O555" s="1" t="str">
        <f t="shared" si="26"/>
        <v>Valid</v>
      </c>
      <c r="P555" t="s">
        <v>14</v>
      </c>
      <c r="Q555" s="1" t="str">
        <v>Car</v>
      </c>
      <c r="R555">
        <v>1</v>
      </c>
      <c r="S555" s="2" t="s">
        <v>34</v>
      </c>
    </row>
    <row r="556" spans="1:19" x14ac:dyDescent="0.35">
      <c r="A556">
        <v>67</v>
      </c>
      <c r="B556" s="2" t="s">
        <v>37</v>
      </c>
      <c r="C556" t="s">
        <v>20</v>
      </c>
      <c r="D556" s="1" t="str">
        <v>Female</v>
      </c>
      <c r="E556">
        <v>3</v>
      </c>
      <c r="F556" t="s">
        <v>21</v>
      </c>
      <c r="G556" t="s">
        <v>24</v>
      </c>
      <c r="H556" t="s">
        <v>27</v>
      </c>
      <c r="I556">
        <v>1199</v>
      </c>
      <c r="J556" s="2" t="s">
        <v>41</v>
      </c>
      <c r="K556" s="1" t="str">
        <f t="shared" si="24"/>
        <v>Has Spaces</v>
      </c>
      <c r="L556" s="1" t="b">
        <v>1</v>
      </c>
      <c r="M556" s="1" t="str">
        <f t="shared" si="25"/>
        <v>Valid</v>
      </c>
      <c r="N556">
        <v>9</v>
      </c>
      <c r="O556" s="1" t="str">
        <f t="shared" si="26"/>
        <v>Valid</v>
      </c>
      <c r="P556" t="s">
        <v>12</v>
      </c>
      <c r="Q556" s="1" t="str">
        <v>Education</v>
      </c>
      <c r="R556">
        <v>1</v>
      </c>
      <c r="S556" s="2" t="s">
        <v>34</v>
      </c>
    </row>
    <row r="557" spans="1:19" x14ac:dyDescent="0.35">
      <c r="A557">
        <v>22</v>
      </c>
      <c r="B557" s="2" t="s">
        <v>38</v>
      </c>
      <c r="C557" t="s">
        <v>19</v>
      </c>
      <c r="D557" s="1" t="str">
        <v>Male</v>
      </c>
      <c r="E557">
        <v>2</v>
      </c>
      <c r="F557" t="s">
        <v>21</v>
      </c>
      <c r="G557" t="s">
        <v>24</v>
      </c>
      <c r="H557" t="s">
        <v>27</v>
      </c>
      <c r="I557">
        <v>1331</v>
      </c>
      <c r="J557" s="2" t="s">
        <v>41</v>
      </c>
      <c r="K557" s="1" t="str">
        <f t="shared" si="24"/>
        <v>Has Spaces</v>
      </c>
      <c r="L557" s="1" t="b">
        <v>1</v>
      </c>
      <c r="M557" s="1" t="str">
        <f t="shared" si="25"/>
        <v>Valid</v>
      </c>
      <c r="N557">
        <v>12</v>
      </c>
      <c r="O557" s="1" t="str">
        <f t="shared" si="26"/>
        <v>Valid</v>
      </c>
      <c r="P557" t="s">
        <v>11</v>
      </c>
      <c r="Q557" s="1" t="str">
        <v>Radio/Tv</v>
      </c>
      <c r="R557">
        <v>2</v>
      </c>
      <c r="S557" s="2" t="s">
        <v>35</v>
      </c>
    </row>
    <row r="558" spans="1:19" x14ac:dyDescent="0.35">
      <c r="A558">
        <v>28</v>
      </c>
      <c r="B558" s="2" t="s">
        <v>38</v>
      </c>
      <c r="C558" t="s">
        <v>20</v>
      </c>
      <c r="D558" s="1" t="str">
        <v>Female</v>
      </c>
      <c r="E558">
        <v>2</v>
      </c>
      <c r="F558" t="s">
        <v>21</v>
      </c>
      <c r="G558" t="s">
        <v>27</v>
      </c>
      <c r="H558" t="s">
        <v>27</v>
      </c>
      <c r="I558">
        <v>2278</v>
      </c>
      <c r="J558" s="2" t="s">
        <v>43</v>
      </c>
      <c r="K558" s="1" t="str">
        <f t="shared" si="24"/>
        <v>Clean</v>
      </c>
      <c r="L558" s="1" t="b">
        <v>1</v>
      </c>
      <c r="M558" s="1" t="str">
        <f t="shared" si="25"/>
        <v>Valid</v>
      </c>
      <c r="N558">
        <v>18</v>
      </c>
      <c r="O558" s="1" t="str">
        <f t="shared" si="26"/>
        <v>Valid</v>
      </c>
      <c r="P558" t="s">
        <v>14</v>
      </c>
      <c r="Q558" s="1" t="str">
        <v>Car</v>
      </c>
      <c r="R558">
        <v>2</v>
      </c>
      <c r="S558" s="2" t="s">
        <v>35</v>
      </c>
    </row>
    <row r="559" spans="1:19" x14ac:dyDescent="0.35">
      <c r="A559">
        <v>29</v>
      </c>
      <c r="B559" s="2" t="s">
        <v>38</v>
      </c>
      <c r="C559" t="s">
        <v>20</v>
      </c>
      <c r="D559" s="1" t="str">
        <v>Female</v>
      </c>
      <c r="E559">
        <v>2</v>
      </c>
      <c r="F559" t="s">
        <v>21</v>
      </c>
      <c r="G559" t="s">
        <v>10</v>
      </c>
      <c r="H559" t="s">
        <v>10</v>
      </c>
      <c r="I559">
        <v>5003</v>
      </c>
      <c r="J559" s="2" t="s">
        <v>42</v>
      </c>
      <c r="K559" s="1" t="str">
        <f t="shared" si="24"/>
        <v>Clean</v>
      </c>
      <c r="L559" s="1" t="b">
        <v>1</v>
      </c>
      <c r="M559" s="1" t="str">
        <f t="shared" si="25"/>
        <v>Valid</v>
      </c>
      <c r="N559">
        <v>21</v>
      </c>
      <c r="O559" s="1" t="str">
        <f t="shared" si="26"/>
        <v>Valid</v>
      </c>
      <c r="P559" t="s">
        <v>14</v>
      </c>
      <c r="Q559" s="1" t="str">
        <v>Car</v>
      </c>
      <c r="R559">
        <v>2</v>
      </c>
      <c r="S559" s="2" t="s">
        <v>35</v>
      </c>
    </row>
    <row r="560" spans="1:19" x14ac:dyDescent="0.35">
      <c r="A560">
        <v>27</v>
      </c>
      <c r="B560" s="2" t="s">
        <v>38</v>
      </c>
      <c r="C560" t="s">
        <v>19</v>
      </c>
      <c r="D560" s="1" t="str">
        <v>Male</v>
      </c>
      <c r="E560">
        <v>2</v>
      </c>
      <c r="F560" t="s">
        <v>21</v>
      </c>
      <c r="G560" t="s">
        <v>24</v>
      </c>
      <c r="H560" t="s">
        <v>24</v>
      </c>
      <c r="I560">
        <v>3552</v>
      </c>
      <c r="J560" s="2" t="s">
        <v>43</v>
      </c>
      <c r="K560" s="1" t="str">
        <f t="shared" si="24"/>
        <v>Clean</v>
      </c>
      <c r="L560" s="1" t="b">
        <v>1</v>
      </c>
      <c r="M560" s="1" t="str">
        <f t="shared" si="25"/>
        <v>Valid</v>
      </c>
      <c r="N560">
        <v>24</v>
      </c>
      <c r="O560" s="1" t="str">
        <f t="shared" si="26"/>
        <v>Valid</v>
      </c>
      <c r="P560" t="s">
        <v>13</v>
      </c>
      <c r="Q560" s="1" t="str">
        <v>Furniture/Equipment</v>
      </c>
      <c r="R560">
        <v>2</v>
      </c>
      <c r="S560" s="2" t="s">
        <v>35</v>
      </c>
    </row>
    <row r="561" spans="1:19" x14ac:dyDescent="0.35">
      <c r="A561">
        <v>31</v>
      </c>
      <c r="B561" s="2" t="s">
        <v>39</v>
      </c>
      <c r="C561" t="s">
        <v>19</v>
      </c>
      <c r="D561" s="1" t="str">
        <v>Male</v>
      </c>
      <c r="E561">
        <v>1</v>
      </c>
      <c r="F561" t="s">
        <v>21</v>
      </c>
      <c r="G561" t="s">
        <v>24</v>
      </c>
      <c r="H561" t="s">
        <v>27</v>
      </c>
      <c r="I561">
        <v>1928</v>
      </c>
      <c r="J561" s="2" t="s">
        <v>41</v>
      </c>
      <c r="K561" s="1" t="str">
        <f t="shared" si="24"/>
        <v>Has Spaces</v>
      </c>
      <c r="L561" s="1" t="b">
        <v>1</v>
      </c>
      <c r="M561" s="1" t="str">
        <f t="shared" si="25"/>
        <v>Valid</v>
      </c>
      <c r="N561">
        <v>18</v>
      </c>
      <c r="O561" s="1" t="str">
        <f t="shared" si="26"/>
        <v>Valid</v>
      </c>
      <c r="P561" t="s">
        <v>13</v>
      </c>
      <c r="Q561" s="1" t="str">
        <v>Furniture/Equipment</v>
      </c>
      <c r="R561">
        <v>2</v>
      </c>
      <c r="S561" s="2" t="s">
        <v>35</v>
      </c>
    </row>
    <row r="562" spans="1:19" x14ac:dyDescent="0.35">
      <c r="A562">
        <v>49</v>
      </c>
      <c r="B562" s="2" t="s">
        <v>39</v>
      </c>
      <c r="C562" t="s">
        <v>19</v>
      </c>
      <c r="D562" s="1" t="str">
        <v>Male</v>
      </c>
      <c r="E562">
        <v>2</v>
      </c>
      <c r="F562" t="s">
        <v>22</v>
      </c>
      <c r="G562" t="s">
        <v>10</v>
      </c>
      <c r="H562" t="s">
        <v>24</v>
      </c>
      <c r="I562">
        <v>2964</v>
      </c>
      <c r="J562" s="2" t="s">
        <v>43</v>
      </c>
      <c r="K562" s="1" t="str">
        <f t="shared" si="24"/>
        <v>Clean</v>
      </c>
      <c r="L562" s="1" t="b">
        <v>1</v>
      </c>
      <c r="M562" s="1" t="str">
        <f t="shared" si="25"/>
        <v>Valid</v>
      </c>
      <c r="N562">
        <v>24</v>
      </c>
      <c r="O562" s="1" t="str">
        <f t="shared" si="26"/>
        <v>Valid</v>
      </c>
      <c r="P562" t="s">
        <v>14</v>
      </c>
      <c r="Q562" s="1" t="str">
        <v>Car</v>
      </c>
      <c r="R562">
        <v>1</v>
      </c>
      <c r="S562" s="2" t="s">
        <v>34</v>
      </c>
    </row>
    <row r="563" spans="1:19" x14ac:dyDescent="0.35">
      <c r="A563">
        <v>24</v>
      </c>
      <c r="B563" s="2" t="s">
        <v>38</v>
      </c>
      <c r="C563" t="s">
        <v>19</v>
      </c>
      <c r="D563" s="1" t="str">
        <v>Male</v>
      </c>
      <c r="E563">
        <v>1</v>
      </c>
      <c r="F563" t="s">
        <v>23</v>
      </c>
      <c r="G563" t="s">
        <v>24</v>
      </c>
      <c r="H563" t="s">
        <v>24</v>
      </c>
      <c r="I563">
        <v>1546</v>
      </c>
      <c r="J563" s="2" t="s">
        <v>41</v>
      </c>
      <c r="K563" s="1" t="str">
        <f t="shared" si="24"/>
        <v>Has Spaces</v>
      </c>
      <c r="L563" s="1" t="b">
        <v>1</v>
      </c>
      <c r="M563" s="1" t="str">
        <f t="shared" si="25"/>
        <v>Valid</v>
      </c>
      <c r="N563">
        <v>24</v>
      </c>
      <c r="O563" s="1" t="str">
        <f t="shared" si="26"/>
        <v>Valid</v>
      </c>
      <c r="P563" t="s">
        <v>11</v>
      </c>
      <c r="Q563" s="1" t="str">
        <v>Radio/Tv</v>
      </c>
      <c r="R563">
        <v>2</v>
      </c>
      <c r="S563" s="2" t="s">
        <v>35</v>
      </c>
    </row>
    <row r="564" spans="1:19" x14ac:dyDescent="0.35">
      <c r="A564">
        <v>29</v>
      </c>
      <c r="B564" s="2" t="s">
        <v>38</v>
      </c>
      <c r="C564" t="s">
        <v>20</v>
      </c>
      <c r="D564" s="1" t="str">
        <v>Female</v>
      </c>
      <c r="E564">
        <v>2</v>
      </c>
      <c r="F564" t="s">
        <v>21</v>
      </c>
      <c r="G564" t="s">
        <v>24</v>
      </c>
      <c r="H564" t="s">
        <v>26</v>
      </c>
      <c r="I564">
        <v>683</v>
      </c>
      <c r="J564" s="2" t="s">
        <v>41</v>
      </c>
      <c r="K564" s="1" t="str">
        <f t="shared" si="24"/>
        <v>Has Spaces</v>
      </c>
      <c r="L564" s="1" t="b">
        <v>1</v>
      </c>
      <c r="M564" s="1" t="str">
        <f t="shared" si="25"/>
        <v>Valid</v>
      </c>
      <c r="N564">
        <v>6</v>
      </c>
      <c r="O564" s="1" t="str">
        <f t="shared" si="26"/>
        <v>Valid</v>
      </c>
      <c r="P564" t="s">
        <v>11</v>
      </c>
      <c r="Q564" s="1" t="str">
        <v>Radio/Tv</v>
      </c>
      <c r="R564">
        <v>1</v>
      </c>
      <c r="S564" s="2" t="s">
        <v>34</v>
      </c>
    </row>
    <row r="565" spans="1:19" x14ac:dyDescent="0.35">
      <c r="A565">
        <v>37</v>
      </c>
      <c r="B565" s="2" t="s">
        <v>39</v>
      </c>
      <c r="C565" t="s">
        <v>19</v>
      </c>
      <c r="D565" s="1" t="str">
        <v>Male</v>
      </c>
      <c r="E565">
        <v>2</v>
      </c>
      <c r="F565" t="s">
        <v>22</v>
      </c>
      <c r="G565" t="s">
        <v>10</v>
      </c>
      <c r="H565" t="s">
        <v>27</v>
      </c>
      <c r="I565">
        <v>12389</v>
      </c>
      <c r="J565" s="2" t="s">
        <v>42</v>
      </c>
      <c r="K565" s="1" t="str">
        <f t="shared" si="24"/>
        <v>Clean</v>
      </c>
      <c r="L565" s="1" t="b">
        <v>1</v>
      </c>
      <c r="M565" s="1" t="str">
        <f t="shared" si="25"/>
        <v>Valid</v>
      </c>
      <c r="N565">
        <v>36</v>
      </c>
      <c r="O565" s="1" t="str">
        <f t="shared" si="26"/>
        <v>Valid</v>
      </c>
      <c r="P565" t="s">
        <v>14</v>
      </c>
      <c r="Q565" s="1" t="str">
        <v>Car</v>
      </c>
      <c r="R565">
        <v>2</v>
      </c>
      <c r="S565" s="2" t="s">
        <v>35</v>
      </c>
    </row>
    <row r="566" spans="1:19" x14ac:dyDescent="0.35">
      <c r="A566">
        <v>37</v>
      </c>
      <c r="B566" s="2" t="s">
        <v>39</v>
      </c>
      <c r="C566" t="s">
        <v>19</v>
      </c>
      <c r="D566" s="1" t="str">
        <v>Male</v>
      </c>
      <c r="E566">
        <v>3</v>
      </c>
      <c r="F566" t="s">
        <v>21</v>
      </c>
      <c r="G566" t="s">
        <v>10</v>
      </c>
      <c r="H566" t="s">
        <v>27</v>
      </c>
      <c r="I566">
        <v>4712</v>
      </c>
      <c r="J566" s="2" t="s">
        <v>43</v>
      </c>
      <c r="K566" s="1" t="str">
        <f t="shared" si="24"/>
        <v>Clean</v>
      </c>
      <c r="L566" s="1" t="b">
        <v>1</v>
      </c>
      <c r="M566" s="1" t="str">
        <f t="shared" si="25"/>
        <v>Valid</v>
      </c>
      <c r="N566">
        <v>24</v>
      </c>
      <c r="O566" s="1" t="str">
        <f t="shared" si="26"/>
        <v>Valid</v>
      </c>
      <c r="P566" t="s">
        <v>15</v>
      </c>
      <c r="Q566" s="1" t="str">
        <v>Business</v>
      </c>
      <c r="R566">
        <v>1</v>
      </c>
      <c r="S566" s="2" t="s">
        <v>34</v>
      </c>
    </row>
    <row r="567" spans="1:19" x14ac:dyDescent="0.35">
      <c r="A567">
        <v>23</v>
      </c>
      <c r="B567" s="2" t="s">
        <v>38</v>
      </c>
      <c r="C567" t="s">
        <v>20</v>
      </c>
      <c r="D567" s="1" t="str">
        <v>Female</v>
      </c>
      <c r="E567">
        <v>2</v>
      </c>
      <c r="F567" t="s">
        <v>23</v>
      </c>
      <c r="G567" t="s">
        <v>27</v>
      </c>
      <c r="H567" t="s">
        <v>27</v>
      </c>
      <c r="I567">
        <v>1553</v>
      </c>
      <c r="J567" s="2" t="s">
        <v>41</v>
      </c>
      <c r="K567" s="1" t="str">
        <f t="shared" si="24"/>
        <v>Has Spaces</v>
      </c>
      <c r="L567" s="1" t="b">
        <v>1</v>
      </c>
      <c r="M567" s="1" t="str">
        <f t="shared" si="25"/>
        <v>Valid</v>
      </c>
      <c r="N567">
        <v>24</v>
      </c>
      <c r="O567" s="1" t="str">
        <f t="shared" si="26"/>
        <v>Valid</v>
      </c>
      <c r="P567" t="s">
        <v>11</v>
      </c>
      <c r="Q567" s="1" t="str">
        <v>Radio/Tv</v>
      </c>
      <c r="R567">
        <v>1</v>
      </c>
      <c r="S567" s="2" t="s">
        <v>34</v>
      </c>
    </row>
    <row r="568" spans="1:19" x14ac:dyDescent="0.35">
      <c r="A568">
        <v>36</v>
      </c>
      <c r="B568" s="2" t="s">
        <v>39</v>
      </c>
      <c r="C568" t="s">
        <v>19</v>
      </c>
      <c r="D568" s="1" t="str">
        <v>Male</v>
      </c>
      <c r="E568">
        <v>2</v>
      </c>
      <c r="F568" t="s">
        <v>21</v>
      </c>
      <c r="G568" t="s">
        <v>24</v>
      </c>
      <c r="H568" t="s">
        <v>24</v>
      </c>
      <c r="I568">
        <v>1372</v>
      </c>
      <c r="J568" s="2" t="s">
        <v>41</v>
      </c>
      <c r="K568" s="1" t="str">
        <f t="shared" si="24"/>
        <v>Has Spaces</v>
      </c>
      <c r="L568" s="1" t="b">
        <v>1</v>
      </c>
      <c r="M568" s="1" t="str">
        <f t="shared" si="25"/>
        <v>Valid</v>
      </c>
      <c r="N568">
        <v>12</v>
      </c>
      <c r="O568" s="1" t="str">
        <f t="shared" si="26"/>
        <v>Valid</v>
      </c>
      <c r="P568" t="s">
        <v>14</v>
      </c>
      <c r="Q568" s="1" t="str">
        <v>Car</v>
      </c>
      <c r="R568">
        <v>2</v>
      </c>
      <c r="S568" s="2" t="s">
        <v>35</v>
      </c>
    </row>
    <row r="569" spans="1:19" x14ac:dyDescent="0.35">
      <c r="A569">
        <v>34</v>
      </c>
      <c r="B569" s="2" t="s">
        <v>39</v>
      </c>
      <c r="C569" t="s">
        <v>19</v>
      </c>
      <c r="D569" s="1" t="str">
        <v>Male</v>
      </c>
      <c r="E569">
        <v>2</v>
      </c>
      <c r="F569" t="s">
        <v>21</v>
      </c>
      <c r="G569" t="s">
        <v>26</v>
      </c>
      <c r="H569" t="s">
        <v>10</v>
      </c>
      <c r="I569">
        <v>2578</v>
      </c>
      <c r="J569" s="2" t="s">
        <v>43</v>
      </c>
      <c r="K569" s="1" t="str">
        <f t="shared" si="24"/>
        <v>Clean</v>
      </c>
      <c r="L569" s="1" t="b">
        <v>1</v>
      </c>
      <c r="M569" s="1" t="str">
        <f t="shared" si="25"/>
        <v>Valid</v>
      </c>
      <c r="N569">
        <v>24</v>
      </c>
      <c r="O569" s="1" t="str">
        <f t="shared" si="26"/>
        <v>Valid</v>
      </c>
      <c r="P569" t="s">
        <v>11</v>
      </c>
      <c r="Q569" s="1" t="str">
        <v>Radio/Tv</v>
      </c>
      <c r="R569">
        <v>1</v>
      </c>
      <c r="S569" s="2" t="s">
        <v>34</v>
      </c>
    </row>
    <row r="570" spans="1:19" x14ac:dyDescent="0.35">
      <c r="A570">
        <v>41</v>
      </c>
      <c r="B570" s="2" t="s">
        <v>39</v>
      </c>
      <c r="C570" t="s">
        <v>19</v>
      </c>
      <c r="D570" s="1" t="str">
        <v>Male</v>
      </c>
      <c r="E570">
        <v>2</v>
      </c>
      <c r="F570" t="s">
        <v>21</v>
      </c>
      <c r="G570" t="s">
        <v>10</v>
      </c>
      <c r="H570" t="s">
        <v>27</v>
      </c>
      <c r="I570">
        <v>3979</v>
      </c>
      <c r="J570" s="2" t="s">
        <v>43</v>
      </c>
      <c r="K570" s="1" t="str">
        <f t="shared" si="24"/>
        <v>Clean</v>
      </c>
      <c r="L570" s="1" t="b">
        <v>1</v>
      </c>
      <c r="M570" s="1" t="str">
        <f t="shared" si="25"/>
        <v>Valid</v>
      </c>
      <c r="N570">
        <v>48</v>
      </c>
      <c r="O570" s="1" t="str">
        <f t="shared" si="26"/>
        <v>Valid</v>
      </c>
      <c r="P570" t="s">
        <v>11</v>
      </c>
      <c r="Q570" s="1" t="str">
        <v>Radio/Tv</v>
      </c>
      <c r="R570">
        <v>1</v>
      </c>
      <c r="S570" s="2" t="s">
        <v>34</v>
      </c>
    </row>
    <row r="571" spans="1:19" x14ac:dyDescent="0.35">
      <c r="A571">
        <v>31</v>
      </c>
      <c r="B571" s="2" t="s">
        <v>39</v>
      </c>
      <c r="C571" t="s">
        <v>20</v>
      </c>
      <c r="D571" s="1" t="str">
        <v>Female</v>
      </c>
      <c r="E571">
        <v>2</v>
      </c>
      <c r="F571" t="s">
        <v>21</v>
      </c>
      <c r="G571" t="s">
        <v>24</v>
      </c>
      <c r="H571" t="s">
        <v>24</v>
      </c>
      <c r="I571">
        <v>6758</v>
      </c>
      <c r="J571" s="2" t="s">
        <v>42</v>
      </c>
      <c r="K571" s="1" t="str">
        <f t="shared" si="24"/>
        <v>Clean</v>
      </c>
      <c r="L571" s="1" t="b">
        <v>1</v>
      </c>
      <c r="M571" s="1" t="str">
        <f t="shared" si="25"/>
        <v>Valid</v>
      </c>
      <c r="N571">
        <v>48</v>
      </c>
      <c r="O571" s="1" t="str">
        <f t="shared" si="26"/>
        <v>Valid</v>
      </c>
      <c r="P571" t="s">
        <v>11</v>
      </c>
      <c r="Q571" s="1" t="str">
        <v>Radio/Tv</v>
      </c>
      <c r="R571">
        <v>2</v>
      </c>
      <c r="S571" s="2" t="s">
        <v>35</v>
      </c>
    </row>
    <row r="572" spans="1:19" x14ac:dyDescent="0.35">
      <c r="A572">
        <v>23</v>
      </c>
      <c r="B572" s="2" t="s">
        <v>38</v>
      </c>
      <c r="C572" t="s">
        <v>20</v>
      </c>
      <c r="D572" s="1" t="str">
        <v>Female</v>
      </c>
      <c r="E572">
        <v>1</v>
      </c>
      <c r="F572" t="s">
        <v>23</v>
      </c>
      <c r="G572" t="s">
        <v>24</v>
      </c>
      <c r="H572" t="s">
        <v>24</v>
      </c>
      <c r="I572">
        <v>3234</v>
      </c>
      <c r="J572" s="2" t="s">
        <v>43</v>
      </c>
      <c r="K572" s="1" t="str">
        <f t="shared" si="24"/>
        <v>Clean</v>
      </c>
      <c r="L572" s="1" t="b">
        <v>1</v>
      </c>
      <c r="M572" s="1" t="str">
        <f t="shared" si="25"/>
        <v>Valid</v>
      </c>
      <c r="N572">
        <v>24</v>
      </c>
      <c r="O572" s="1" t="str">
        <f t="shared" si="26"/>
        <v>Valid</v>
      </c>
      <c r="P572" t="s">
        <v>13</v>
      </c>
      <c r="Q572" s="1" t="str">
        <v>Furniture/Equipment</v>
      </c>
      <c r="R572">
        <v>2</v>
      </c>
      <c r="S572" s="2" t="s">
        <v>35</v>
      </c>
    </row>
    <row r="573" spans="1:19" x14ac:dyDescent="0.35">
      <c r="A573">
        <v>38</v>
      </c>
      <c r="B573" s="2" t="s">
        <v>39</v>
      </c>
      <c r="C573" t="s">
        <v>19</v>
      </c>
      <c r="D573" s="1" t="str">
        <v>Male</v>
      </c>
      <c r="E573">
        <v>2</v>
      </c>
      <c r="F573" t="s">
        <v>21</v>
      </c>
      <c r="G573" t="s">
        <v>24</v>
      </c>
      <c r="H573" t="s">
        <v>10</v>
      </c>
      <c r="I573">
        <v>5954</v>
      </c>
      <c r="J573" s="2" t="s">
        <v>42</v>
      </c>
      <c r="K573" s="1" t="str">
        <f t="shared" si="24"/>
        <v>Clean</v>
      </c>
      <c r="L573" s="1" t="b">
        <v>1</v>
      </c>
      <c r="M573" s="1" t="str">
        <f t="shared" si="25"/>
        <v>Valid</v>
      </c>
      <c r="N573">
        <v>30</v>
      </c>
      <c r="O573" s="1" t="str">
        <f t="shared" si="26"/>
        <v>Valid</v>
      </c>
      <c r="P573" t="s">
        <v>11</v>
      </c>
      <c r="Q573" s="1" t="str">
        <v>Radio/Tv</v>
      </c>
      <c r="R573">
        <v>1</v>
      </c>
      <c r="S573" s="2" t="s">
        <v>34</v>
      </c>
    </row>
    <row r="574" spans="1:19" x14ac:dyDescent="0.35">
      <c r="A574">
        <v>26</v>
      </c>
      <c r="B574" s="2" t="s">
        <v>38</v>
      </c>
      <c r="C574" t="s">
        <v>20</v>
      </c>
      <c r="D574" s="1" t="str">
        <v>Female</v>
      </c>
      <c r="E574">
        <v>3</v>
      </c>
      <c r="F574" t="s">
        <v>23</v>
      </c>
      <c r="G574" t="s">
        <v>10</v>
      </c>
      <c r="H574" t="s">
        <v>10</v>
      </c>
      <c r="I574">
        <v>5433</v>
      </c>
      <c r="J574" s="2" t="s">
        <v>42</v>
      </c>
      <c r="K574" s="1" t="str">
        <f t="shared" si="24"/>
        <v>Clean</v>
      </c>
      <c r="L574" s="1" t="b">
        <v>1</v>
      </c>
      <c r="M574" s="1" t="str">
        <f t="shared" si="25"/>
        <v>Valid</v>
      </c>
      <c r="N574">
        <v>24</v>
      </c>
      <c r="O574" s="1" t="str">
        <f t="shared" si="26"/>
        <v>Valid</v>
      </c>
      <c r="P574" t="s">
        <v>14</v>
      </c>
      <c r="Q574" s="1" t="str">
        <v>Car</v>
      </c>
      <c r="R574">
        <v>1</v>
      </c>
      <c r="S574" s="2" t="s">
        <v>34</v>
      </c>
    </row>
    <row r="575" spans="1:19" x14ac:dyDescent="0.35">
      <c r="A575">
        <v>22</v>
      </c>
      <c r="B575" s="2" t="s">
        <v>38</v>
      </c>
      <c r="C575" t="s">
        <v>20</v>
      </c>
      <c r="D575" s="1" t="str">
        <v>Female</v>
      </c>
      <c r="E575">
        <v>1</v>
      </c>
      <c r="F575" t="s">
        <v>21</v>
      </c>
      <c r="G575" t="s">
        <v>24</v>
      </c>
      <c r="H575" t="s">
        <v>24</v>
      </c>
      <c r="I575">
        <v>806</v>
      </c>
      <c r="J575" s="2" t="s">
        <v>41</v>
      </c>
      <c r="K575" s="1" t="str">
        <f t="shared" si="24"/>
        <v>Has Spaces</v>
      </c>
      <c r="L575" s="1" t="b">
        <v>1</v>
      </c>
      <c r="M575" s="1" t="str">
        <f t="shared" si="25"/>
        <v>Valid</v>
      </c>
      <c r="N575">
        <v>15</v>
      </c>
      <c r="O575" s="1" t="str">
        <f t="shared" si="26"/>
        <v>Valid</v>
      </c>
      <c r="P575" t="s">
        <v>15</v>
      </c>
      <c r="Q575" s="1" t="str">
        <v>Business</v>
      </c>
      <c r="R575">
        <v>1</v>
      </c>
      <c r="S575" s="2" t="s">
        <v>34</v>
      </c>
    </row>
    <row r="576" spans="1:19" x14ac:dyDescent="0.35">
      <c r="A576">
        <v>27</v>
      </c>
      <c r="B576" s="2" t="s">
        <v>38</v>
      </c>
      <c r="C576" t="s">
        <v>19</v>
      </c>
      <c r="D576" s="1" t="str">
        <v>Male</v>
      </c>
      <c r="E576">
        <v>1</v>
      </c>
      <c r="F576" t="s">
        <v>21</v>
      </c>
      <c r="G576" t="s">
        <v>24</v>
      </c>
      <c r="H576" t="s">
        <v>27</v>
      </c>
      <c r="I576">
        <v>1082</v>
      </c>
      <c r="J576" s="2" t="s">
        <v>41</v>
      </c>
      <c r="K576" s="1" t="str">
        <f t="shared" si="24"/>
        <v>Has Spaces</v>
      </c>
      <c r="L576" s="1" t="b">
        <v>1</v>
      </c>
      <c r="M576" s="1" t="str">
        <f t="shared" si="25"/>
        <v>Valid</v>
      </c>
      <c r="N576">
        <v>9</v>
      </c>
      <c r="O576" s="1" t="str">
        <f t="shared" si="26"/>
        <v>Valid</v>
      </c>
      <c r="P576" t="s">
        <v>11</v>
      </c>
      <c r="Q576" s="1" t="str">
        <v>Radio/Tv</v>
      </c>
      <c r="R576">
        <v>1</v>
      </c>
      <c r="S576" s="2" t="s">
        <v>34</v>
      </c>
    </row>
    <row r="577" spans="1:19" x14ac:dyDescent="0.35">
      <c r="A577">
        <v>24</v>
      </c>
      <c r="B577" s="2" t="s">
        <v>38</v>
      </c>
      <c r="C577" t="s">
        <v>20</v>
      </c>
      <c r="D577" s="1" t="str">
        <v>Female</v>
      </c>
      <c r="E577">
        <v>2</v>
      </c>
      <c r="F577" t="s">
        <v>21</v>
      </c>
      <c r="G577" t="s">
        <v>24</v>
      </c>
      <c r="H577" t="s">
        <v>10</v>
      </c>
      <c r="I577">
        <v>2788</v>
      </c>
      <c r="J577" s="2" t="s">
        <v>43</v>
      </c>
      <c r="K577" s="1" t="str">
        <f t="shared" si="24"/>
        <v>Clean</v>
      </c>
      <c r="L577" s="1" t="b">
        <v>1</v>
      </c>
      <c r="M577" s="1" t="str">
        <f t="shared" si="25"/>
        <v>Valid</v>
      </c>
      <c r="N577">
        <v>15</v>
      </c>
      <c r="O577" s="1" t="str">
        <f t="shared" si="26"/>
        <v>Valid</v>
      </c>
      <c r="P577" t="s">
        <v>13</v>
      </c>
      <c r="Q577" s="1" t="str">
        <v>Furniture/Equipment</v>
      </c>
      <c r="R577">
        <v>1</v>
      </c>
      <c r="S577" s="2" t="s">
        <v>34</v>
      </c>
    </row>
    <row r="578" spans="1:19" x14ac:dyDescent="0.35">
      <c r="A578">
        <v>27</v>
      </c>
      <c r="B578" s="2" t="s">
        <v>38</v>
      </c>
      <c r="C578" t="s">
        <v>20</v>
      </c>
      <c r="D578" s="1" t="str">
        <v>Female</v>
      </c>
      <c r="E578">
        <v>2</v>
      </c>
      <c r="F578" t="s">
        <v>21</v>
      </c>
      <c r="G578" t="s">
        <v>24</v>
      </c>
      <c r="H578" t="s">
        <v>27</v>
      </c>
      <c r="I578">
        <v>2930</v>
      </c>
      <c r="J578" s="2" t="s">
        <v>43</v>
      </c>
      <c r="K578" s="1" t="str">
        <f t="shared" si="24"/>
        <v>Clean</v>
      </c>
      <c r="L578" s="1" t="b">
        <v>1</v>
      </c>
      <c r="M578" s="1" t="str">
        <f t="shared" si="25"/>
        <v>Valid</v>
      </c>
      <c r="N578">
        <v>12</v>
      </c>
      <c r="O578" s="1" t="str">
        <f t="shared" si="26"/>
        <v>Valid</v>
      </c>
      <c r="P578" t="s">
        <v>11</v>
      </c>
      <c r="Q578" s="1" t="str">
        <v>Radio/Tv</v>
      </c>
      <c r="R578">
        <v>1</v>
      </c>
      <c r="S578" s="2" t="s">
        <v>34</v>
      </c>
    </row>
    <row r="579" spans="1:19" x14ac:dyDescent="0.35">
      <c r="A579">
        <v>33</v>
      </c>
      <c r="B579" s="2" t="s">
        <v>39</v>
      </c>
      <c r="C579" t="s">
        <v>20</v>
      </c>
      <c r="D579" s="1" t="str">
        <v>Female</v>
      </c>
      <c r="E579">
        <v>2</v>
      </c>
      <c r="F579" t="s">
        <v>21</v>
      </c>
      <c r="G579" t="s">
        <v>10</v>
      </c>
      <c r="H579" t="s">
        <v>10</v>
      </c>
      <c r="I579">
        <v>1927</v>
      </c>
      <c r="J579" s="2" t="s">
        <v>41</v>
      </c>
      <c r="K579" s="1" t="str">
        <f t="shared" ref="K579:K642" si="27">IF(J579=TRIM(J579),"Clean","Has Spaces")</f>
        <v>Has Spaces</v>
      </c>
      <c r="L579" s="1" t="b">
        <v>1</v>
      </c>
      <c r="M579" s="1" t="str">
        <f t="shared" ref="M579:M642" si="28">IF(I579&gt;0,"Valid", "Invalid")</f>
        <v>Valid</v>
      </c>
      <c r="N579">
        <v>24</v>
      </c>
      <c r="O579" s="1" t="str">
        <f t="shared" ref="O579:O642" si="29">IF(N579&lt;=0,"invalid", "Valid")</f>
        <v>Valid</v>
      </c>
      <c r="P579" t="s">
        <v>12</v>
      </c>
      <c r="Q579" s="1" t="str">
        <v>Education</v>
      </c>
      <c r="R579">
        <v>1</v>
      </c>
      <c r="S579" s="2" t="s">
        <v>34</v>
      </c>
    </row>
    <row r="580" spans="1:19" x14ac:dyDescent="0.35">
      <c r="A580">
        <v>27</v>
      </c>
      <c r="B580" s="2" t="s">
        <v>38</v>
      </c>
      <c r="C580" t="s">
        <v>19</v>
      </c>
      <c r="D580" s="1" t="str">
        <v>Male</v>
      </c>
      <c r="E580">
        <v>2</v>
      </c>
      <c r="F580" t="s">
        <v>21</v>
      </c>
      <c r="G580" t="s">
        <v>24</v>
      </c>
      <c r="H580" t="s">
        <v>27</v>
      </c>
      <c r="I580">
        <v>2820</v>
      </c>
      <c r="J580" s="2" t="s">
        <v>43</v>
      </c>
      <c r="K580" s="1" t="str">
        <f t="shared" si="27"/>
        <v>Clean</v>
      </c>
      <c r="L580" s="1" t="b">
        <v>1</v>
      </c>
      <c r="M580" s="1" t="str">
        <f t="shared" si="28"/>
        <v>Valid</v>
      </c>
      <c r="N580">
        <v>36</v>
      </c>
      <c r="O580" s="1" t="str">
        <f t="shared" si="29"/>
        <v>Valid</v>
      </c>
      <c r="P580" t="s">
        <v>14</v>
      </c>
      <c r="Q580" s="1" t="str">
        <v>Car</v>
      </c>
      <c r="R580">
        <v>2</v>
      </c>
      <c r="S580" s="2" t="s">
        <v>35</v>
      </c>
    </row>
    <row r="581" spans="1:19" x14ac:dyDescent="0.35">
      <c r="A581">
        <v>27</v>
      </c>
      <c r="B581" s="2" t="s">
        <v>38</v>
      </c>
      <c r="C581" t="s">
        <v>19</v>
      </c>
      <c r="D581" s="1" t="str">
        <v>Male</v>
      </c>
      <c r="E581">
        <v>1</v>
      </c>
      <c r="F581" t="s">
        <v>21</v>
      </c>
      <c r="G581" t="s">
        <v>24</v>
      </c>
      <c r="H581" t="s">
        <v>10</v>
      </c>
      <c r="I581">
        <v>937</v>
      </c>
      <c r="J581" s="2" t="s">
        <v>41</v>
      </c>
      <c r="K581" s="1" t="str">
        <f t="shared" si="27"/>
        <v>Has Spaces</v>
      </c>
      <c r="L581" s="1" t="b">
        <v>1</v>
      </c>
      <c r="M581" s="1" t="str">
        <f t="shared" si="28"/>
        <v>Valid</v>
      </c>
      <c r="N581">
        <v>24</v>
      </c>
      <c r="O581" s="1" t="str">
        <f t="shared" si="29"/>
        <v>Valid</v>
      </c>
      <c r="P581" t="s">
        <v>12</v>
      </c>
      <c r="Q581" s="1" t="str">
        <v>Education</v>
      </c>
      <c r="R581">
        <v>1</v>
      </c>
      <c r="S581" s="2" t="s">
        <v>34</v>
      </c>
    </row>
    <row r="582" spans="1:19" x14ac:dyDescent="0.35">
      <c r="A582">
        <v>30</v>
      </c>
      <c r="B582" s="2" t="s">
        <v>39</v>
      </c>
      <c r="C582" t="s">
        <v>19</v>
      </c>
      <c r="D582" s="1" t="str">
        <v>Male</v>
      </c>
      <c r="E582">
        <v>2</v>
      </c>
      <c r="F582" t="s">
        <v>21</v>
      </c>
      <c r="G582" t="s">
        <v>24</v>
      </c>
      <c r="H582" t="s">
        <v>27</v>
      </c>
      <c r="I582">
        <v>1056</v>
      </c>
      <c r="J582" s="2" t="s">
        <v>41</v>
      </c>
      <c r="K582" s="1" t="str">
        <f t="shared" si="27"/>
        <v>Has Spaces</v>
      </c>
      <c r="L582" s="1" t="b">
        <v>1</v>
      </c>
      <c r="M582" s="1" t="str">
        <f t="shared" si="28"/>
        <v>Valid</v>
      </c>
      <c r="N582">
        <v>18</v>
      </c>
      <c r="O582" s="1" t="str">
        <f t="shared" si="29"/>
        <v>Valid</v>
      </c>
      <c r="P582" t="s">
        <v>14</v>
      </c>
      <c r="Q582" s="1" t="str">
        <v>Car</v>
      </c>
      <c r="R582">
        <v>2</v>
      </c>
      <c r="S582" s="2" t="s">
        <v>35</v>
      </c>
    </row>
    <row r="583" spans="1:19" x14ac:dyDescent="0.35">
      <c r="A583">
        <v>49</v>
      </c>
      <c r="B583" s="2" t="s">
        <v>39</v>
      </c>
      <c r="C583" t="s">
        <v>19</v>
      </c>
      <c r="D583" s="1" t="str">
        <v>Male</v>
      </c>
      <c r="E583">
        <v>1</v>
      </c>
      <c r="F583" t="s">
        <v>21</v>
      </c>
      <c r="G583" t="s">
        <v>24</v>
      </c>
      <c r="H583" t="s">
        <v>27</v>
      </c>
      <c r="I583">
        <v>3124</v>
      </c>
      <c r="J583" s="2" t="s">
        <v>43</v>
      </c>
      <c r="K583" s="1" t="str">
        <f t="shared" si="27"/>
        <v>Clean</v>
      </c>
      <c r="L583" s="1" t="b">
        <v>1</v>
      </c>
      <c r="M583" s="1" t="str">
        <f t="shared" si="28"/>
        <v>Valid</v>
      </c>
      <c r="N583">
        <v>12</v>
      </c>
      <c r="O583" s="1" t="str">
        <f t="shared" si="29"/>
        <v>Valid</v>
      </c>
      <c r="P583" t="s">
        <v>14</v>
      </c>
      <c r="Q583" s="1" t="str">
        <v>Car</v>
      </c>
      <c r="R583">
        <v>1</v>
      </c>
      <c r="S583" s="2" t="s">
        <v>34</v>
      </c>
    </row>
    <row r="584" spans="1:19" x14ac:dyDescent="0.35">
      <c r="A584">
        <v>26</v>
      </c>
      <c r="B584" s="2" t="s">
        <v>38</v>
      </c>
      <c r="C584" t="s">
        <v>20</v>
      </c>
      <c r="D584" s="1" t="str">
        <v>Female</v>
      </c>
      <c r="E584">
        <v>2</v>
      </c>
      <c r="F584" t="s">
        <v>23</v>
      </c>
      <c r="G584" t="s">
        <v>24</v>
      </c>
      <c r="H584" t="s">
        <v>10</v>
      </c>
      <c r="I584">
        <v>1388</v>
      </c>
      <c r="J584" s="2" t="s">
        <v>41</v>
      </c>
      <c r="K584" s="1" t="str">
        <f t="shared" si="27"/>
        <v>Has Spaces</v>
      </c>
      <c r="L584" s="1" t="b">
        <v>1</v>
      </c>
      <c r="M584" s="1" t="str">
        <f t="shared" si="28"/>
        <v>Valid</v>
      </c>
      <c r="N584">
        <v>9</v>
      </c>
      <c r="O584" s="1" t="str">
        <f t="shared" si="29"/>
        <v>Valid</v>
      </c>
      <c r="P584" t="s">
        <v>13</v>
      </c>
      <c r="Q584" s="1" t="str">
        <v>Furniture/Equipment</v>
      </c>
      <c r="R584">
        <v>1</v>
      </c>
      <c r="S584" s="2" t="s">
        <v>34</v>
      </c>
    </row>
    <row r="585" spans="1:19" x14ac:dyDescent="0.35">
      <c r="A585">
        <v>33</v>
      </c>
      <c r="B585" s="2" t="s">
        <v>39</v>
      </c>
      <c r="C585" t="s">
        <v>19</v>
      </c>
      <c r="D585" s="1" t="str">
        <v>Male</v>
      </c>
      <c r="E585">
        <v>1</v>
      </c>
      <c r="F585" t="s">
        <v>23</v>
      </c>
      <c r="G585" t="s">
        <v>24</v>
      </c>
      <c r="H585" t="s">
        <v>27</v>
      </c>
      <c r="I585">
        <v>2384</v>
      </c>
      <c r="J585" s="2" t="s">
        <v>43</v>
      </c>
      <c r="K585" s="1" t="str">
        <f t="shared" si="27"/>
        <v>Clean</v>
      </c>
      <c r="L585" s="1" t="b">
        <v>1</v>
      </c>
      <c r="M585" s="1" t="str">
        <f t="shared" si="28"/>
        <v>Valid</v>
      </c>
      <c r="N585">
        <v>36</v>
      </c>
      <c r="O585" s="1" t="str">
        <f t="shared" si="29"/>
        <v>Valid</v>
      </c>
      <c r="P585" t="s">
        <v>17</v>
      </c>
      <c r="Q585" s="1" t="str">
        <v>Repairs</v>
      </c>
      <c r="R585">
        <v>2</v>
      </c>
      <c r="S585" s="2" t="s">
        <v>35</v>
      </c>
    </row>
    <row r="586" spans="1:19" x14ac:dyDescent="0.35">
      <c r="A586">
        <v>52</v>
      </c>
      <c r="B586" s="2" t="s">
        <v>37</v>
      </c>
      <c r="C586" t="s">
        <v>20</v>
      </c>
      <c r="D586" s="1" t="str">
        <v>Female</v>
      </c>
      <c r="E586">
        <v>3</v>
      </c>
      <c r="F586" t="s">
        <v>22</v>
      </c>
      <c r="G586" t="s">
        <v>10</v>
      </c>
      <c r="H586" t="s">
        <v>10</v>
      </c>
      <c r="I586">
        <v>2133</v>
      </c>
      <c r="J586" s="2" t="s">
        <v>43</v>
      </c>
      <c r="K586" s="1" t="str">
        <f t="shared" si="27"/>
        <v>Clean</v>
      </c>
      <c r="L586" s="1" t="b">
        <v>1</v>
      </c>
      <c r="M586" s="1" t="str">
        <f t="shared" si="28"/>
        <v>Valid</v>
      </c>
      <c r="N586">
        <v>12</v>
      </c>
      <c r="O586" s="1" t="str">
        <f t="shared" si="29"/>
        <v>Valid</v>
      </c>
      <c r="P586" t="s">
        <v>14</v>
      </c>
      <c r="Q586" s="1" t="str">
        <v>Car</v>
      </c>
      <c r="R586">
        <v>1</v>
      </c>
      <c r="S586" s="2" t="s">
        <v>34</v>
      </c>
    </row>
    <row r="587" spans="1:19" x14ac:dyDescent="0.35">
      <c r="A587">
        <v>20</v>
      </c>
      <c r="B587" s="2" t="s">
        <v>38</v>
      </c>
      <c r="C587" t="s">
        <v>20</v>
      </c>
      <c r="D587" s="1" t="str">
        <v>Female</v>
      </c>
      <c r="E587">
        <v>2</v>
      </c>
      <c r="F587" t="s">
        <v>23</v>
      </c>
      <c r="G587" t="s">
        <v>24</v>
      </c>
      <c r="H587" t="s">
        <v>24</v>
      </c>
      <c r="I587">
        <v>2039</v>
      </c>
      <c r="J587" s="2" t="s">
        <v>43</v>
      </c>
      <c r="K587" s="1" t="str">
        <f t="shared" si="27"/>
        <v>Clean</v>
      </c>
      <c r="L587" s="1" t="b">
        <v>1</v>
      </c>
      <c r="M587" s="1" t="str">
        <f t="shared" si="28"/>
        <v>Valid</v>
      </c>
      <c r="N587">
        <v>18</v>
      </c>
      <c r="O587" s="1" t="str">
        <f t="shared" si="29"/>
        <v>Valid</v>
      </c>
      <c r="P587" t="s">
        <v>13</v>
      </c>
      <c r="Q587" s="1" t="str">
        <v>Furniture/Equipment</v>
      </c>
      <c r="R587">
        <v>2</v>
      </c>
      <c r="S587" s="2" t="s">
        <v>35</v>
      </c>
    </row>
    <row r="588" spans="1:19" x14ac:dyDescent="0.35">
      <c r="A588">
        <v>36</v>
      </c>
      <c r="B588" s="2" t="s">
        <v>39</v>
      </c>
      <c r="C588" t="s">
        <v>19</v>
      </c>
      <c r="D588" s="1" t="str">
        <v>Male</v>
      </c>
      <c r="E588">
        <v>2</v>
      </c>
      <c r="F588" t="s">
        <v>23</v>
      </c>
      <c r="G588" t="s">
        <v>24</v>
      </c>
      <c r="H588" t="s">
        <v>24</v>
      </c>
      <c r="I588">
        <v>2799</v>
      </c>
      <c r="J588" s="2" t="s">
        <v>43</v>
      </c>
      <c r="K588" s="1" t="str">
        <f t="shared" si="27"/>
        <v>Clean</v>
      </c>
      <c r="L588" s="1" t="b">
        <v>1</v>
      </c>
      <c r="M588" s="1" t="str">
        <f t="shared" si="28"/>
        <v>Valid</v>
      </c>
      <c r="N588">
        <v>9</v>
      </c>
      <c r="O588" s="1" t="str">
        <f t="shared" si="29"/>
        <v>Valid</v>
      </c>
      <c r="P588" t="s">
        <v>14</v>
      </c>
      <c r="Q588" s="1" t="str">
        <v>Car</v>
      </c>
      <c r="R588">
        <v>1</v>
      </c>
      <c r="S588" s="2" t="s">
        <v>34</v>
      </c>
    </row>
    <row r="589" spans="1:19" x14ac:dyDescent="0.35">
      <c r="A589">
        <v>21</v>
      </c>
      <c r="B589" s="2" t="s">
        <v>38</v>
      </c>
      <c r="C589" t="s">
        <v>19</v>
      </c>
      <c r="D589" s="1" t="str">
        <v>Male</v>
      </c>
      <c r="E589">
        <v>1</v>
      </c>
      <c r="F589" t="s">
        <v>21</v>
      </c>
      <c r="G589" t="s">
        <v>24</v>
      </c>
      <c r="H589" t="s">
        <v>24</v>
      </c>
      <c r="I589">
        <v>1289</v>
      </c>
      <c r="J589" s="2" t="s">
        <v>41</v>
      </c>
      <c r="K589" s="1" t="str">
        <f t="shared" si="27"/>
        <v>Has Spaces</v>
      </c>
      <c r="L589" s="1" t="b">
        <v>1</v>
      </c>
      <c r="M589" s="1" t="str">
        <f t="shared" si="28"/>
        <v>Valid</v>
      </c>
      <c r="N589">
        <v>12</v>
      </c>
      <c r="O589" s="1" t="str">
        <f t="shared" si="29"/>
        <v>Valid</v>
      </c>
      <c r="P589" t="s">
        <v>13</v>
      </c>
      <c r="Q589" s="1" t="str">
        <v>Furniture/Equipment</v>
      </c>
      <c r="R589">
        <v>1</v>
      </c>
      <c r="S589" s="2" t="s">
        <v>34</v>
      </c>
    </row>
    <row r="590" spans="1:19" x14ac:dyDescent="0.35">
      <c r="A590">
        <v>47</v>
      </c>
      <c r="B590" s="2" t="s">
        <v>39</v>
      </c>
      <c r="C590" t="s">
        <v>19</v>
      </c>
      <c r="D590" s="1" t="str">
        <v>Male</v>
      </c>
      <c r="E590">
        <v>1</v>
      </c>
      <c r="F590" t="s">
        <v>21</v>
      </c>
      <c r="G590" t="s">
        <v>24</v>
      </c>
      <c r="H590" t="s">
        <v>24</v>
      </c>
      <c r="I590">
        <v>1217</v>
      </c>
      <c r="J590" s="2" t="s">
        <v>41</v>
      </c>
      <c r="K590" s="1" t="str">
        <f t="shared" si="27"/>
        <v>Has Spaces</v>
      </c>
      <c r="L590" s="1" t="b">
        <v>1</v>
      </c>
      <c r="M590" s="1" t="str">
        <f t="shared" si="28"/>
        <v>Valid</v>
      </c>
      <c r="N590">
        <v>18</v>
      </c>
      <c r="O590" s="1" t="str">
        <f t="shared" si="29"/>
        <v>Valid</v>
      </c>
      <c r="P590" t="s">
        <v>16</v>
      </c>
      <c r="Q590" s="1" t="str">
        <v>Domestic Appliances</v>
      </c>
      <c r="R590">
        <v>2</v>
      </c>
      <c r="S590" s="2" t="s">
        <v>35</v>
      </c>
    </row>
    <row r="591" spans="1:19" x14ac:dyDescent="0.35">
      <c r="A591">
        <v>60</v>
      </c>
      <c r="B591" s="2" t="s">
        <v>37</v>
      </c>
      <c r="C591" t="s">
        <v>19</v>
      </c>
      <c r="D591" s="1" t="str">
        <v>Male</v>
      </c>
      <c r="E591">
        <v>2</v>
      </c>
      <c r="F591" t="s">
        <v>21</v>
      </c>
      <c r="G591" t="s">
        <v>24</v>
      </c>
      <c r="H591" t="s">
        <v>24</v>
      </c>
      <c r="I591">
        <v>2246</v>
      </c>
      <c r="J591" s="2" t="s">
        <v>43</v>
      </c>
      <c r="K591" s="1" t="str">
        <f t="shared" si="27"/>
        <v>Clean</v>
      </c>
      <c r="L591" s="1" t="b">
        <v>1</v>
      </c>
      <c r="M591" s="1" t="str">
        <f t="shared" si="28"/>
        <v>Valid</v>
      </c>
      <c r="N591">
        <v>12</v>
      </c>
      <c r="O591" s="1" t="str">
        <f t="shared" si="29"/>
        <v>Valid</v>
      </c>
      <c r="P591" t="s">
        <v>13</v>
      </c>
      <c r="Q591" s="1" t="str">
        <v>Furniture/Equipment</v>
      </c>
      <c r="R591">
        <v>2</v>
      </c>
      <c r="S591" s="2" t="s">
        <v>35</v>
      </c>
    </row>
    <row r="592" spans="1:19" x14ac:dyDescent="0.35">
      <c r="A592">
        <v>58</v>
      </c>
      <c r="B592" s="2" t="s">
        <v>37</v>
      </c>
      <c r="C592" t="s">
        <v>20</v>
      </c>
      <c r="D592" s="1" t="str">
        <v>Female</v>
      </c>
      <c r="E592">
        <v>1</v>
      </c>
      <c r="F592" t="s">
        <v>21</v>
      </c>
      <c r="G592" t="s">
        <v>24</v>
      </c>
      <c r="H592" t="s">
        <v>24</v>
      </c>
      <c r="I592">
        <v>385</v>
      </c>
      <c r="J592" s="2" t="s">
        <v>41</v>
      </c>
      <c r="K592" s="1" t="str">
        <f t="shared" si="27"/>
        <v>Has Spaces</v>
      </c>
      <c r="L592" s="1" t="b">
        <v>1</v>
      </c>
      <c r="M592" s="1" t="str">
        <f t="shared" si="28"/>
        <v>Valid</v>
      </c>
      <c r="N592">
        <v>12</v>
      </c>
      <c r="O592" s="1" t="str">
        <f t="shared" si="29"/>
        <v>Valid</v>
      </c>
      <c r="P592" t="s">
        <v>11</v>
      </c>
      <c r="Q592" s="1" t="str">
        <v>Radio/Tv</v>
      </c>
      <c r="R592">
        <v>1</v>
      </c>
      <c r="S592" s="2" t="s">
        <v>34</v>
      </c>
    </row>
    <row r="593" spans="1:19" x14ac:dyDescent="0.35">
      <c r="A593">
        <v>42</v>
      </c>
      <c r="B593" s="2" t="s">
        <v>39</v>
      </c>
      <c r="C593" t="s">
        <v>20</v>
      </c>
      <c r="D593" s="1" t="str">
        <v>Female</v>
      </c>
      <c r="E593">
        <v>2</v>
      </c>
      <c r="F593" t="s">
        <v>23</v>
      </c>
      <c r="G593" t="s">
        <v>10</v>
      </c>
      <c r="H593" t="s">
        <v>27</v>
      </c>
      <c r="I593">
        <v>1965</v>
      </c>
      <c r="J593" s="2" t="s">
        <v>41</v>
      </c>
      <c r="K593" s="1" t="str">
        <f t="shared" si="27"/>
        <v>Has Spaces</v>
      </c>
      <c r="L593" s="1" t="b">
        <v>1</v>
      </c>
      <c r="M593" s="1" t="str">
        <f t="shared" si="28"/>
        <v>Valid</v>
      </c>
      <c r="N593">
        <v>24</v>
      </c>
      <c r="O593" s="1" t="str">
        <f t="shared" si="29"/>
        <v>Valid</v>
      </c>
      <c r="P593" t="s">
        <v>14</v>
      </c>
      <c r="Q593" s="1" t="str">
        <v>Car</v>
      </c>
      <c r="R593">
        <v>1</v>
      </c>
      <c r="S593" s="2" t="s">
        <v>34</v>
      </c>
    </row>
    <row r="594" spans="1:19" x14ac:dyDescent="0.35">
      <c r="A594">
        <v>36</v>
      </c>
      <c r="B594" s="2" t="s">
        <v>39</v>
      </c>
      <c r="C594" t="s">
        <v>20</v>
      </c>
      <c r="D594" s="1" t="str">
        <v>Female</v>
      </c>
      <c r="E594">
        <v>1</v>
      </c>
      <c r="F594" t="s">
        <v>21</v>
      </c>
      <c r="G594" t="s">
        <v>26</v>
      </c>
      <c r="H594" t="s">
        <v>10</v>
      </c>
      <c r="I594">
        <v>1572</v>
      </c>
      <c r="J594" s="2" t="s">
        <v>41</v>
      </c>
      <c r="K594" s="1" t="str">
        <f t="shared" si="27"/>
        <v>Has Spaces</v>
      </c>
      <c r="L594" s="1" t="b">
        <v>1</v>
      </c>
      <c r="M594" s="1" t="str">
        <f t="shared" si="28"/>
        <v>Valid</v>
      </c>
      <c r="N594">
        <v>21</v>
      </c>
      <c r="O594" s="1" t="str">
        <f t="shared" si="29"/>
        <v>Valid</v>
      </c>
      <c r="P594" t="s">
        <v>15</v>
      </c>
      <c r="Q594" s="1" t="str">
        <v>Business</v>
      </c>
      <c r="R594">
        <v>1</v>
      </c>
      <c r="S594" s="2" t="s">
        <v>34</v>
      </c>
    </row>
    <row r="595" spans="1:19" x14ac:dyDescent="0.35">
      <c r="A595">
        <v>20</v>
      </c>
      <c r="B595" s="2" t="s">
        <v>38</v>
      </c>
      <c r="C595" t="s">
        <v>20</v>
      </c>
      <c r="D595" s="1" t="str">
        <v>Female</v>
      </c>
      <c r="E595">
        <v>1</v>
      </c>
      <c r="F595" t="s">
        <v>23</v>
      </c>
      <c r="G595" t="s">
        <v>24</v>
      </c>
      <c r="H595" t="s">
        <v>27</v>
      </c>
      <c r="I595">
        <v>2718</v>
      </c>
      <c r="J595" s="2" t="s">
        <v>43</v>
      </c>
      <c r="K595" s="1" t="str">
        <f t="shared" si="27"/>
        <v>Clean</v>
      </c>
      <c r="L595" s="1" t="b">
        <v>1</v>
      </c>
      <c r="M595" s="1" t="str">
        <f t="shared" si="28"/>
        <v>Valid</v>
      </c>
      <c r="N595">
        <v>24</v>
      </c>
      <c r="O595" s="1" t="str">
        <f t="shared" si="29"/>
        <v>Valid</v>
      </c>
      <c r="P595" t="s">
        <v>14</v>
      </c>
      <c r="Q595" s="1" t="str">
        <v>Car</v>
      </c>
      <c r="R595">
        <v>2</v>
      </c>
      <c r="S595" s="2" t="s">
        <v>35</v>
      </c>
    </row>
    <row r="596" spans="1:19" x14ac:dyDescent="0.35">
      <c r="A596">
        <v>40</v>
      </c>
      <c r="B596" s="2" t="s">
        <v>39</v>
      </c>
      <c r="C596" t="s">
        <v>19</v>
      </c>
      <c r="D596" s="1" t="str">
        <v>Male</v>
      </c>
      <c r="E596">
        <v>3</v>
      </c>
      <c r="F596" t="s">
        <v>21</v>
      </c>
      <c r="G596" t="s">
        <v>10</v>
      </c>
      <c r="H596" t="s">
        <v>24</v>
      </c>
      <c r="I596">
        <v>1358</v>
      </c>
      <c r="J596" s="2" t="s">
        <v>41</v>
      </c>
      <c r="K596" s="1" t="str">
        <f t="shared" si="27"/>
        <v>Has Spaces</v>
      </c>
      <c r="L596" s="1" t="b">
        <v>1</v>
      </c>
      <c r="M596" s="1" t="str">
        <f t="shared" si="28"/>
        <v>Valid</v>
      </c>
      <c r="N596">
        <v>24</v>
      </c>
      <c r="O596" s="1" t="str">
        <f t="shared" si="29"/>
        <v>Valid</v>
      </c>
      <c r="P596" t="s">
        <v>18</v>
      </c>
      <c r="Q596" s="1" t="str">
        <v>Vacation/Others</v>
      </c>
      <c r="R596">
        <v>2</v>
      </c>
      <c r="S596" s="2" t="s">
        <v>35</v>
      </c>
    </row>
    <row r="597" spans="1:19" x14ac:dyDescent="0.35">
      <c r="A597">
        <v>32</v>
      </c>
      <c r="B597" s="2" t="s">
        <v>39</v>
      </c>
      <c r="C597" t="s">
        <v>20</v>
      </c>
      <c r="D597" s="1" t="str">
        <v>Female</v>
      </c>
      <c r="E597">
        <v>1</v>
      </c>
      <c r="F597" t="s">
        <v>21</v>
      </c>
      <c r="G597" t="s">
        <v>27</v>
      </c>
      <c r="H597" t="s">
        <v>27</v>
      </c>
      <c r="I597">
        <v>931</v>
      </c>
      <c r="J597" s="2" t="s">
        <v>41</v>
      </c>
      <c r="K597" s="1" t="str">
        <f t="shared" si="27"/>
        <v>Has Spaces</v>
      </c>
      <c r="L597" s="1" t="b">
        <v>1</v>
      </c>
      <c r="M597" s="1" t="str">
        <f t="shared" si="28"/>
        <v>Valid</v>
      </c>
      <c r="N597">
        <v>6</v>
      </c>
      <c r="O597" s="1" t="str">
        <f t="shared" si="29"/>
        <v>Valid</v>
      </c>
      <c r="P597" t="s">
        <v>14</v>
      </c>
      <c r="Q597" s="1" t="str">
        <v>Car</v>
      </c>
      <c r="R597">
        <v>2</v>
      </c>
      <c r="S597" s="2" t="s">
        <v>35</v>
      </c>
    </row>
    <row r="598" spans="1:19" x14ac:dyDescent="0.35">
      <c r="A598">
        <v>23</v>
      </c>
      <c r="B598" s="2" t="s">
        <v>38</v>
      </c>
      <c r="C598" t="s">
        <v>20</v>
      </c>
      <c r="D598" s="1" t="str">
        <v>Female</v>
      </c>
      <c r="E598">
        <v>2</v>
      </c>
      <c r="F598" t="s">
        <v>23</v>
      </c>
      <c r="G598" t="s">
        <v>24</v>
      </c>
      <c r="H598" t="s">
        <v>24</v>
      </c>
      <c r="I598">
        <v>1442</v>
      </c>
      <c r="J598" s="2" t="s">
        <v>41</v>
      </c>
      <c r="K598" s="1" t="str">
        <f t="shared" si="27"/>
        <v>Has Spaces</v>
      </c>
      <c r="L598" s="1" t="b">
        <v>1</v>
      </c>
      <c r="M598" s="1" t="str">
        <f t="shared" si="28"/>
        <v>Valid</v>
      </c>
      <c r="N598">
        <v>24</v>
      </c>
      <c r="O598" s="1" t="str">
        <f t="shared" si="29"/>
        <v>Valid</v>
      </c>
      <c r="P598" t="s">
        <v>14</v>
      </c>
      <c r="Q598" s="1" t="str">
        <v>Car</v>
      </c>
      <c r="R598">
        <v>2</v>
      </c>
      <c r="S598" s="2" t="s">
        <v>35</v>
      </c>
    </row>
    <row r="599" spans="1:19" x14ac:dyDescent="0.35">
      <c r="A599">
        <v>36</v>
      </c>
      <c r="B599" s="2" t="s">
        <v>39</v>
      </c>
      <c r="C599" t="s">
        <v>19</v>
      </c>
      <c r="D599" s="1" t="str">
        <v>Male</v>
      </c>
      <c r="E599">
        <v>1</v>
      </c>
      <c r="F599" t="s">
        <v>21</v>
      </c>
      <c r="G599" t="s">
        <v>24</v>
      </c>
      <c r="H599" t="s">
        <v>27</v>
      </c>
      <c r="I599">
        <v>4241</v>
      </c>
      <c r="J599" s="2" t="s">
        <v>43</v>
      </c>
      <c r="K599" s="1" t="str">
        <f t="shared" si="27"/>
        <v>Clean</v>
      </c>
      <c r="L599" s="1" t="b">
        <v>1</v>
      </c>
      <c r="M599" s="1" t="str">
        <f t="shared" si="28"/>
        <v>Valid</v>
      </c>
      <c r="N599">
        <v>24</v>
      </c>
      <c r="O599" s="1" t="str">
        <f t="shared" si="29"/>
        <v>Valid</v>
      </c>
      <c r="P599" t="s">
        <v>15</v>
      </c>
      <c r="Q599" s="1" t="str">
        <v>Business</v>
      </c>
      <c r="R599">
        <v>2</v>
      </c>
      <c r="S599" s="2" t="s">
        <v>35</v>
      </c>
    </row>
    <row r="600" spans="1:19" x14ac:dyDescent="0.35">
      <c r="A600">
        <v>31</v>
      </c>
      <c r="B600" s="2" t="s">
        <v>39</v>
      </c>
      <c r="C600" t="s">
        <v>19</v>
      </c>
      <c r="D600" s="1" t="str">
        <v>Male</v>
      </c>
      <c r="E600">
        <v>2</v>
      </c>
      <c r="F600" t="s">
        <v>21</v>
      </c>
      <c r="G600" t="s">
        <v>24</v>
      </c>
      <c r="H600" t="s">
        <v>10</v>
      </c>
      <c r="I600">
        <v>2775</v>
      </c>
      <c r="J600" s="2" t="s">
        <v>43</v>
      </c>
      <c r="K600" s="1" t="str">
        <f t="shared" si="27"/>
        <v>Clean</v>
      </c>
      <c r="L600" s="1" t="b">
        <v>1</v>
      </c>
      <c r="M600" s="1" t="str">
        <f t="shared" si="28"/>
        <v>Valid</v>
      </c>
      <c r="N600">
        <v>18</v>
      </c>
      <c r="O600" s="1" t="str">
        <f t="shared" si="29"/>
        <v>Valid</v>
      </c>
      <c r="P600" t="s">
        <v>14</v>
      </c>
      <c r="Q600" s="1" t="str">
        <v>Car</v>
      </c>
      <c r="R600">
        <v>2</v>
      </c>
      <c r="S600" s="2" t="s">
        <v>35</v>
      </c>
    </row>
    <row r="601" spans="1:19" x14ac:dyDescent="0.35">
      <c r="A601">
        <v>32</v>
      </c>
      <c r="B601" s="2" t="s">
        <v>39</v>
      </c>
      <c r="C601" t="s">
        <v>19</v>
      </c>
      <c r="D601" s="1" t="str">
        <v>Male</v>
      </c>
      <c r="E601">
        <v>2</v>
      </c>
      <c r="F601" t="s">
        <v>22</v>
      </c>
      <c r="G601" t="s">
        <v>24</v>
      </c>
      <c r="H601" t="s">
        <v>10</v>
      </c>
      <c r="I601">
        <v>3863</v>
      </c>
      <c r="J601" s="2" t="s">
        <v>43</v>
      </c>
      <c r="K601" s="1" t="str">
        <f t="shared" si="27"/>
        <v>Clean</v>
      </c>
      <c r="L601" s="1" t="b">
        <v>1</v>
      </c>
      <c r="M601" s="1" t="str">
        <f t="shared" si="28"/>
        <v>Valid</v>
      </c>
      <c r="N601">
        <v>24</v>
      </c>
      <c r="O601" s="1" t="str">
        <f t="shared" si="29"/>
        <v>Valid</v>
      </c>
      <c r="P601" t="s">
        <v>15</v>
      </c>
      <c r="Q601" s="1" t="str">
        <v>Business</v>
      </c>
      <c r="R601">
        <v>1</v>
      </c>
      <c r="S601" s="2" t="s">
        <v>34</v>
      </c>
    </row>
    <row r="602" spans="1:19" x14ac:dyDescent="0.35">
      <c r="A602">
        <v>45</v>
      </c>
      <c r="B602" s="2" t="s">
        <v>39</v>
      </c>
      <c r="C602" t="s">
        <v>20</v>
      </c>
      <c r="D602" s="1" t="str">
        <v>Female</v>
      </c>
      <c r="E602">
        <v>2</v>
      </c>
      <c r="F602" t="s">
        <v>21</v>
      </c>
      <c r="G602" t="s">
        <v>24</v>
      </c>
      <c r="H602" t="s">
        <v>27</v>
      </c>
      <c r="I602">
        <v>2329</v>
      </c>
      <c r="J602" s="2" t="s">
        <v>43</v>
      </c>
      <c r="K602" s="1" t="str">
        <f t="shared" si="27"/>
        <v>Clean</v>
      </c>
      <c r="L602" s="1" t="b">
        <v>1</v>
      </c>
      <c r="M602" s="1" t="str">
        <f t="shared" si="28"/>
        <v>Valid</v>
      </c>
      <c r="N602">
        <v>7</v>
      </c>
      <c r="O602" s="1" t="str">
        <f t="shared" si="29"/>
        <v>Valid</v>
      </c>
      <c r="P602" t="s">
        <v>11</v>
      </c>
      <c r="Q602" s="1" t="str">
        <v>Radio/Tv</v>
      </c>
      <c r="R602">
        <v>1</v>
      </c>
      <c r="S602" s="2" t="s">
        <v>34</v>
      </c>
    </row>
    <row r="603" spans="1:19" x14ac:dyDescent="0.35">
      <c r="A603">
        <v>30</v>
      </c>
      <c r="B603" s="2" t="s">
        <v>39</v>
      </c>
      <c r="C603" t="s">
        <v>20</v>
      </c>
      <c r="D603" s="1" t="str">
        <v>Female</v>
      </c>
      <c r="E603">
        <v>2</v>
      </c>
      <c r="F603" t="s">
        <v>21</v>
      </c>
      <c r="G603" t="s">
        <v>24</v>
      </c>
      <c r="H603" t="s">
        <v>27</v>
      </c>
      <c r="I603">
        <v>918</v>
      </c>
      <c r="J603" s="2" t="s">
        <v>41</v>
      </c>
      <c r="K603" s="1" t="str">
        <f t="shared" si="27"/>
        <v>Has Spaces</v>
      </c>
      <c r="L603" s="1" t="b">
        <v>1</v>
      </c>
      <c r="M603" s="1" t="str">
        <f t="shared" si="28"/>
        <v>Valid</v>
      </c>
      <c r="N603">
        <v>9</v>
      </c>
      <c r="O603" s="1" t="str">
        <f t="shared" si="29"/>
        <v>Valid</v>
      </c>
      <c r="P603" t="s">
        <v>13</v>
      </c>
      <c r="Q603" s="1" t="str">
        <v>Furniture/Equipment</v>
      </c>
      <c r="R603">
        <v>2</v>
      </c>
      <c r="S603" s="2" t="s">
        <v>35</v>
      </c>
    </row>
    <row r="604" spans="1:19" x14ac:dyDescent="0.35">
      <c r="A604">
        <v>34</v>
      </c>
      <c r="B604" s="2" t="s">
        <v>39</v>
      </c>
      <c r="C604" t="s">
        <v>20</v>
      </c>
      <c r="D604" s="1" t="str">
        <v>Female</v>
      </c>
      <c r="E604">
        <v>1</v>
      </c>
      <c r="F604" t="s">
        <v>22</v>
      </c>
      <c r="G604" t="s">
        <v>24</v>
      </c>
      <c r="H604" t="s">
        <v>27</v>
      </c>
      <c r="I604">
        <v>1837</v>
      </c>
      <c r="J604" s="2" t="s">
        <v>41</v>
      </c>
      <c r="K604" s="1" t="str">
        <f t="shared" si="27"/>
        <v>Has Spaces</v>
      </c>
      <c r="L604" s="1" t="b">
        <v>1</v>
      </c>
      <c r="M604" s="1" t="str">
        <f t="shared" si="28"/>
        <v>Valid</v>
      </c>
      <c r="N604">
        <v>24</v>
      </c>
      <c r="O604" s="1" t="str">
        <f t="shared" si="29"/>
        <v>Valid</v>
      </c>
      <c r="P604" t="s">
        <v>12</v>
      </c>
      <c r="Q604" s="1" t="str">
        <v>Education</v>
      </c>
      <c r="R604">
        <v>2</v>
      </c>
      <c r="S604" s="2" t="s">
        <v>35</v>
      </c>
    </row>
    <row r="605" spans="1:19" x14ac:dyDescent="0.35">
      <c r="A605">
        <v>28</v>
      </c>
      <c r="B605" s="2" t="s">
        <v>38</v>
      </c>
      <c r="C605" t="s">
        <v>20</v>
      </c>
      <c r="D605" s="1" t="str">
        <v>Female</v>
      </c>
      <c r="E605">
        <v>3</v>
      </c>
      <c r="F605" t="s">
        <v>21</v>
      </c>
      <c r="G605" t="s">
        <v>24</v>
      </c>
      <c r="H605" t="s">
        <v>10</v>
      </c>
      <c r="I605">
        <v>3349</v>
      </c>
      <c r="J605" s="2" t="s">
        <v>43</v>
      </c>
      <c r="K605" s="1" t="str">
        <f t="shared" si="27"/>
        <v>Clean</v>
      </c>
      <c r="L605" s="1" t="b">
        <v>1</v>
      </c>
      <c r="M605" s="1" t="str">
        <f t="shared" si="28"/>
        <v>Valid</v>
      </c>
      <c r="N605">
        <v>36</v>
      </c>
      <c r="O605" s="1" t="str">
        <f t="shared" si="29"/>
        <v>Valid</v>
      </c>
      <c r="P605" t="s">
        <v>13</v>
      </c>
      <c r="Q605" s="1" t="str">
        <v>Furniture/Equipment</v>
      </c>
      <c r="R605">
        <v>2</v>
      </c>
      <c r="S605" s="2" t="s">
        <v>35</v>
      </c>
    </row>
    <row r="606" spans="1:19" x14ac:dyDescent="0.35">
      <c r="A606">
        <v>23</v>
      </c>
      <c r="B606" s="2" t="s">
        <v>38</v>
      </c>
      <c r="C606" t="s">
        <v>20</v>
      </c>
      <c r="D606" s="1" t="str">
        <v>Female</v>
      </c>
      <c r="E606">
        <v>2</v>
      </c>
      <c r="F606" t="s">
        <v>21</v>
      </c>
      <c r="G606" t="s">
        <v>24</v>
      </c>
      <c r="H606" t="s">
        <v>26</v>
      </c>
      <c r="I606">
        <v>1275</v>
      </c>
      <c r="J606" s="2" t="s">
        <v>41</v>
      </c>
      <c r="K606" s="1" t="str">
        <f t="shared" si="27"/>
        <v>Has Spaces</v>
      </c>
      <c r="L606" s="1" t="b">
        <v>1</v>
      </c>
      <c r="M606" s="1" t="str">
        <f t="shared" si="28"/>
        <v>Valid</v>
      </c>
      <c r="N606">
        <v>10</v>
      </c>
      <c r="O606" s="1" t="str">
        <f t="shared" si="29"/>
        <v>Valid</v>
      </c>
      <c r="P606" t="s">
        <v>13</v>
      </c>
      <c r="Q606" s="1" t="str">
        <v>Furniture/Equipment</v>
      </c>
      <c r="R606">
        <v>1</v>
      </c>
      <c r="S606" s="2" t="s">
        <v>34</v>
      </c>
    </row>
    <row r="607" spans="1:19" x14ac:dyDescent="0.35">
      <c r="A607">
        <v>22</v>
      </c>
      <c r="B607" s="2" t="s">
        <v>38</v>
      </c>
      <c r="C607" t="s">
        <v>19</v>
      </c>
      <c r="D607" s="1" t="str">
        <v>Male</v>
      </c>
      <c r="E607">
        <v>2</v>
      </c>
      <c r="F607" t="s">
        <v>21</v>
      </c>
      <c r="G607" t="s">
        <v>25</v>
      </c>
      <c r="H607" t="s">
        <v>24</v>
      </c>
      <c r="I607">
        <v>2828</v>
      </c>
      <c r="J607" s="2" t="s">
        <v>43</v>
      </c>
      <c r="K607" s="1" t="str">
        <f t="shared" si="27"/>
        <v>Clean</v>
      </c>
      <c r="L607" s="1" t="b">
        <v>1</v>
      </c>
      <c r="M607" s="1" t="str">
        <f t="shared" si="28"/>
        <v>Valid</v>
      </c>
      <c r="N607">
        <v>24</v>
      </c>
      <c r="O607" s="1" t="str">
        <f t="shared" si="29"/>
        <v>Valid</v>
      </c>
      <c r="P607" t="s">
        <v>13</v>
      </c>
      <c r="Q607" s="1" t="str">
        <v>Furniture/Equipment</v>
      </c>
      <c r="R607">
        <v>1</v>
      </c>
      <c r="S607" s="2" t="s">
        <v>34</v>
      </c>
    </row>
    <row r="608" spans="1:19" x14ac:dyDescent="0.35">
      <c r="A608">
        <v>74</v>
      </c>
      <c r="B608" s="2" t="s">
        <v>37</v>
      </c>
      <c r="C608" t="s">
        <v>19</v>
      </c>
      <c r="D608" s="1" t="str">
        <v>Male</v>
      </c>
      <c r="E608">
        <v>3</v>
      </c>
      <c r="F608" t="s">
        <v>21</v>
      </c>
      <c r="G608" t="s">
        <v>24</v>
      </c>
      <c r="H608" t="s">
        <v>10</v>
      </c>
      <c r="I608">
        <v>4526</v>
      </c>
      <c r="J608" s="2" t="s">
        <v>43</v>
      </c>
      <c r="K608" s="1" t="str">
        <f t="shared" si="27"/>
        <v>Clean</v>
      </c>
      <c r="L608" s="1" t="b">
        <v>1</v>
      </c>
      <c r="M608" s="1" t="str">
        <f t="shared" si="28"/>
        <v>Valid</v>
      </c>
      <c r="N608">
        <v>24</v>
      </c>
      <c r="O608" s="1" t="str">
        <f t="shared" si="29"/>
        <v>Valid</v>
      </c>
      <c r="P608" t="s">
        <v>15</v>
      </c>
      <c r="Q608" s="1" t="str">
        <v>Business</v>
      </c>
      <c r="R608">
        <v>1</v>
      </c>
      <c r="S608" s="2" t="s">
        <v>34</v>
      </c>
    </row>
    <row r="609" spans="1:19" x14ac:dyDescent="0.35">
      <c r="A609">
        <v>50</v>
      </c>
      <c r="B609" s="2" t="s">
        <v>37</v>
      </c>
      <c r="C609" t="s">
        <v>20</v>
      </c>
      <c r="D609" s="1" t="str">
        <v>Female</v>
      </c>
      <c r="E609">
        <v>2</v>
      </c>
      <c r="F609" t="s">
        <v>22</v>
      </c>
      <c r="G609" t="s">
        <v>27</v>
      </c>
      <c r="H609" t="s">
        <v>27</v>
      </c>
      <c r="I609">
        <v>2671</v>
      </c>
      <c r="J609" s="2" t="s">
        <v>43</v>
      </c>
      <c r="K609" s="1" t="str">
        <f t="shared" si="27"/>
        <v>Clean</v>
      </c>
      <c r="L609" s="1" t="b">
        <v>1</v>
      </c>
      <c r="M609" s="1" t="str">
        <f t="shared" si="28"/>
        <v>Valid</v>
      </c>
      <c r="N609">
        <v>36</v>
      </c>
      <c r="O609" s="1" t="str">
        <f t="shared" si="29"/>
        <v>Valid</v>
      </c>
      <c r="P609" t="s">
        <v>11</v>
      </c>
      <c r="Q609" s="1" t="str">
        <v>Radio/Tv</v>
      </c>
      <c r="R609">
        <v>2</v>
      </c>
      <c r="S609" s="2" t="s">
        <v>35</v>
      </c>
    </row>
    <row r="610" spans="1:19" x14ac:dyDescent="0.35">
      <c r="A610">
        <v>33</v>
      </c>
      <c r="B610" s="2" t="s">
        <v>39</v>
      </c>
      <c r="C610" t="s">
        <v>19</v>
      </c>
      <c r="D610" s="1" t="str">
        <v>Male</v>
      </c>
      <c r="E610">
        <v>2</v>
      </c>
      <c r="F610" t="s">
        <v>21</v>
      </c>
      <c r="G610" t="s">
        <v>24</v>
      </c>
      <c r="H610" t="s">
        <v>10</v>
      </c>
      <c r="I610">
        <v>2051</v>
      </c>
      <c r="J610" s="2" t="s">
        <v>43</v>
      </c>
      <c r="K610" s="1" t="str">
        <f t="shared" si="27"/>
        <v>Clean</v>
      </c>
      <c r="L610" s="1" t="b">
        <v>1</v>
      </c>
      <c r="M610" s="1" t="str">
        <f t="shared" si="28"/>
        <v>Valid</v>
      </c>
      <c r="N610">
        <v>18</v>
      </c>
      <c r="O610" s="1" t="str">
        <f t="shared" si="29"/>
        <v>Valid</v>
      </c>
      <c r="P610" t="s">
        <v>11</v>
      </c>
      <c r="Q610" s="1" t="str">
        <v>Radio/Tv</v>
      </c>
      <c r="R610">
        <v>1</v>
      </c>
      <c r="S610" s="2" t="s">
        <v>34</v>
      </c>
    </row>
    <row r="611" spans="1:19" x14ac:dyDescent="0.35">
      <c r="A611">
        <v>45</v>
      </c>
      <c r="B611" s="2" t="s">
        <v>39</v>
      </c>
      <c r="C611" t="s">
        <v>19</v>
      </c>
      <c r="D611" s="1" t="str">
        <v>Male</v>
      </c>
      <c r="E611">
        <v>2</v>
      </c>
      <c r="F611" t="s">
        <v>22</v>
      </c>
      <c r="G611" t="s">
        <v>10</v>
      </c>
      <c r="H611" t="s">
        <v>10</v>
      </c>
      <c r="I611">
        <v>1300</v>
      </c>
      <c r="J611" s="2" t="s">
        <v>41</v>
      </c>
      <c r="K611" s="1" t="str">
        <f t="shared" si="27"/>
        <v>Has Spaces</v>
      </c>
      <c r="L611" s="1" t="b">
        <v>1</v>
      </c>
      <c r="M611" s="1" t="str">
        <f t="shared" si="28"/>
        <v>Valid</v>
      </c>
      <c r="N611">
        <v>15</v>
      </c>
      <c r="O611" s="1" t="str">
        <f t="shared" si="29"/>
        <v>Valid</v>
      </c>
      <c r="P611" t="s">
        <v>14</v>
      </c>
      <c r="Q611" s="1" t="str">
        <v>Car</v>
      </c>
      <c r="R611">
        <v>1</v>
      </c>
      <c r="S611" s="2" t="s">
        <v>34</v>
      </c>
    </row>
    <row r="612" spans="1:19" x14ac:dyDescent="0.35">
      <c r="A612">
        <v>22</v>
      </c>
      <c r="B612" s="2" t="s">
        <v>38</v>
      </c>
      <c r="C612" t="s">
        <v>20</v>
      </c>
      <c r="D612" s="1" t="str">
        <v>Female</v>
      </c>
      <c r="E612">
        <v>2</v>
      </c>
      <c r="F612" t="s">
        <v>21</v>
      </c>
      <c r="G612" t="s">
        <v>27</v>
      </c>
      <c r="H612" t="s">
        <v>24</v>
      </c>
      <c r="I612">
        <v>741</v>
      </c>
      <c r="J612" s="2" t="s">
        <v>41</v>
      </c>
      <c r="K612" s="1" t="str">
        <f t="shared" si="27"/>
        <v>Has Spaces</v>
      </c>
      <c r="L612" s="1" t="b">
        <v>1</v>
      </c>
      <c r="M612" s="1" t="str">
        <f t="shared" si="28"/>
        <v>Valid</v>
      </c>
      <c r="N612">
        <v>12</v>
      </c>
      <c r="O612" s="1" t="str">
        <f t="shared" si="29"/>
        <v>Valid</v>
      </c>
      <c r="P612" t="s">
        <v>16</v>
      </c>
      <c r="Q612" s="1" t="str">
        <v>Domestic Appliances</v>
      </c>
      <c r="R612">
        <v>2</v>
      </c>
      <c r="S612" s="2" t="s">
        <v>35</v>
      </c>
    </row>
    <row r="613" spans="1:19" x14ac:dyDescent="0.35">
      <c r="A613">
        <v>48</v>
      </c>
      <c r="B613" s="2" t="s">
        <v>39</v>
      </c>
      <c r="C613" t="s">
        <v>20</v>
      </c>
      <c r="D613" s="1" t="str">
        <v>Female</v>
      </c>
      <c r="E613">
        <v>1</v>
      </c>
      <c r="F613" t="s">
        <v>22</v>
      </c>
      <c r="G613" t="s">
        <v>27</v>
      </c>
      <c r="H613" t="s">
        <v>26</v>
      </c>
      <c r="I613">
        <v>1240</v>
      </c>
      <c r="J613" s="2" t="s">
        <v>41</v>
      </c>
      <c r="K613" s="1" t="str">
        <f t="shared" si="27"/>
        <v>Has Spaces</v>
      </c>
      <c r="L613" s="1" t="b">
        <v>1</v>
      </c>
      <c r="M613" s="1" t="str">
        <f t="shared" si="28"/>
        <v>Valid</v>
      </c>
      <c r="N613">
        <v>10</v>
      </c>
      <c r="O613" s="1" t="str">
        <f t="shared" si="29"/>
        <v>Valid</v>
      </c>
      <c r="P613" t="s">
        <v>14</v>
      </c>
      <c r="Q613" s="1" t="str">
        <v>Car</v>
      </c>
      <c r="R613">
        <v>2</v>
      </c>
      <c r="S613" s="2" t="s">
        <v>35</v>
      </c>
    </row>
    <row r="614" spans="1:19" x14ac:dyDescent="0.35">
      <c r="A614">
        <v>29</v>
      </c>
      <c r="B614" s="2" t="s">
        <v>38</v>
      </c>
      <c r="C614" t="s">
        <v>20</v>
      </c>
      <c r="D614" s="1" t="str">
        <v>Female</v>
      </c>
      <c r="E614">
        <v>2</v>
      </c>
      <c r="F614" t="s">
        <v>21</v>
      </c>
      <c r="G614" t="s">
        <v>26</v>
      </c>
      <c r="H614" t="s">
        <v>24</v>
      </c>
      <c r="I614">
        <v>3357</v>
      </c>
      <c r="J614" s="2" t="s">
        <v>43</v>
      </c>
      <c r="K614" s="1" t="str">
        <f t="shared" si="27"/>
        <v>Clean</v>
      </c>
      <c r="L614" s="1" t="b">
        <v>1</v>
      </c>
      <c r="M614" s="1" t="str">
        <f t="shared" si="28"/>
        <v>Valid</v>
      </c>
      <c r="N614">
        <v>21</v>
      </c>
      <c r="O614" s="1" t="str">
        <f t="shared" si="29"/>
        <v>Valid</v>
      </c>
      <c r="P614" t="s">
        <v>11</v>
      </c>
      <c r="Q614" s="1" t="str">
        <v>Radio/Tv</v>
      </c>
      <c r="R614">
        <v>1</v>
      </c>
      <c r="S614" s="2" t="s">
        <v>34</v>
      </c>
    </row>
    <row r="615" spans="1:19" x14ac:dyDescent="0.35">
      <c r="A615">
        <v>22</v>
      </c>
      <c r="B615" s="2" t="s">
        <v>38</v>
      </c>
      <c r="C615" t="s">
        <v>20</v>
      </c>
      <c r="D615" s="1" t="str">
        <v>Female</v>
      </c>
      <c r="E615">
        <v>2</v>
      </c>
      <c r="F615" t="s">
        <v>23</v>
      </c>
      <c r="G615" t="s">
        <v>24</v>
      </c>
      <c r="H615" t="s">
        <v>24</v>
      </c>
      <c r="I615">
        <v>3632</v>
      </c>
      <c r="J615" s="2" t="s">
        <v>43</v>
      </c>
      <c r="K615" s="1" t="str">
        <f t="shared" si="27"/>
        <v>Clean</v>
      </c>
      <c r="L615" s="1" t="b">
        <v>1</v>
      </c>
      <c r="M615" s="1" t="str">
        <f t="shared" si="28"/>
        <v>Valid</v>
      </c>
      <c r="N615">
        <v>24</v>
      </c>
      <c r="O615" s="1" t="str">
        <f t="shared" si="29"/>
        <v>Valid</v>
      </c>
      <c r="P615" t="s">
        <v>14</v>
      </c>
      <c r="Q615" s="1" t="str">
        <v>Car</v>
      </c>
      <c r="R615">
        <v>1</v>
      </c>
      <c r="S615" s="2" t="s">
        <v>34</v>
      </c>
    </row>
    <row r="616" spans="1:19" x14ac:dyDescent="0.35">
      <c r="A616">
        <v>22</v>
      </c>
      <c r="B616" s="2" t="s">
        <v>38</v>
      </c>
      <c r="C616" t="s">
        <v>20</v>
      </c>
      <c r="D616" s="1" t="str">
        <v>Female</v>
      </c>
      <c r="E616">
        <v>2</v>
      </c>
      <c r="F616" t="s">
        <v>21</v>
      </c>
      <c r="G616" t="s">
        <v>24</v>
      </c>
      <c r="H616" t="s">
        <v>10</v>
      </c>
      <c r="I616">
        <v>1808</v>
      </c>
      <c r="J616" s="2" t="s">
        <v>41</v>
      </c>
      <c r="K616" s="1" t="str">
        <f t="shared" si="27"/>
        <v>Has Spaces</v>
      </c>
      <c r="L616" s="1" t="b">
        <v>1</v>
      </c>
      <c r="M616" s="1" t="str">
        <f t="shared" si="28"/>
        <v>Valid</v>
      </c>
      <c r="N616">
        <v>18</v>
      </c>
      <c r="O616" s="1" t="str">
        <f t="shared" si="29"/>
        <v>Valid</v>
      </c>
      <c r="P616" t="s">
        <v>13</v>
      </c>
      <c r="Q616" s="1" t="str">
        <v>Furniture/Equipment</v>
      </c>
      <c r="R616">
        <v>2</v>
      </c>
      <c r="S616" s="2" t="s">
        <v>35</v>
      </c>
    </row>
    <row r="617" spans="1:19" x14ac:dyDescent="0.35">
      <c r="A617">
        <v>48</v>
      </c>
      <c r="B617" s="2" t="s">
        <v>39</v>
      </c>
      <c r="C617" t="s">
        <v>19</v>
      </c>
      <c r="D617" s="1" t="str">
        <v>Male</v>
      </c>
      <c r="E617">
        <v>3</v>
      </c>
      <c r="F617" t="s">
        <v>21</v>
      </c>
      <c r="G617" t="s">
        <v>10</v>
      </c>
      <c r="H617" t="s">
        <v>27</v>
      </c>
      <c r="I617">
        <v>12204</v>
      </c>
      <c r="J617" s="2" t="s">
        <v>42</v>
      </c>
      <c r="K617" s="1" t="str">
        <f t="shared" si="27"/>
        <v>Clean</v>
      </c>
      <c r="L617" s="1" t="b">
        <v>1</v>
      </c>
      <c r="M617" s="1" t="str">
        <f t="shared" si="28"/>
        <v>Valid</v>
      </c>
      <c r="N617">
        <v>48</v>
      </c>
      <c r="O617" s="1" t="str">
        <f t="shared" si="29"/>
        <v>Valid</v>
      </c>
      <c r="P617" t="s">
        <v>15</v>
      </c>
      <c r="Q617" s="1" t="str">
        <v>Business</v>
      </c>
      <c r="R617">
        <v>1</v>
      </c>
      <c r="S617" s="2" t="s">
        <v>34</v>
      </c>
    </row>
    <row r="618" spans="1:19" x14ac:dyDescent="0.35">
      <c r="A618">
        <v>27</v>
      </c>
      <c r="B618" s="2" t="s">
        <v>38</v>
      </c>
      <c r="C618" t="s">
        <v>19</v>
      </c>
      <c r="D618" s="1" t="str">
        <v>Male</v>
      </c>
      <c r="E618">
        <v>3</v>
      </c>
      <c r="F618" t="s">
        <v>22</v>
      </c>
      <c r="G618" t="s">
        <v>10</v>
      </c>
      <c r="H618" t="s">
        <v>27</v>
      </c>
      <c r="I618">
        <v>9157</v>
      </c>
      <c r="J618" s="2" t="s">
        <v>42</v>
      </c>
      <c r="K618" s="1" t="str">
        <f t="shared" si="27"/>
        <v>Clean</v>
      </c>
      <c r="L618" s="1" t="b">
        <v>1</v>
      </c>
      <c r="M618" s="1" t="str">
        <f t="shared" si="28"/>
        <v>Valid</v>
      </c>
      <c r="N618">
        <v>60</v>
      </c>
      <c r="O618" s="1" t="str">
        <f t="shared" si="29"/>
        <v>Valid</v>
      </c>
      <c r="P618" t="s">
        <v>11</v>
      </c>
      <c r="Q618" s="1" t="str">
        <v>Radio/Tv</v>
      </c>
      <c r="R618">
        <v>1</v>
      </c>
      <c r="S618" s="2" t="s">
        <v>34</v>
      </c>
    </row>
    <row r="619" spans="1:19" x14ac:dyDescent="0.35">
      <c r="A619">
        <v>37</v>
      </c>
      <c r="B619" s="2" t="s">
        <v>39</v>
      </c>
      <c r="C619" t="s">
        <v>19</v>
      </c>
      <c r="D619" s="1" t="str">
        <v>Male</v>
      </c>
      <c r="E619">
        <v>2</v>
      </c>
      <c r="F619" t="s">
        <v>23</v>
      </c>
      <c r="G619" t="s">
        <v>24</v>
      </c>
      <c r="H619" t="s">
        <v>24</v>
      </c>
      <c r="I619">
        <v>3676</v>
      </c>
      <c r="J619" s="2" t="s">
        <v>43</v>
      </c>
      <c r="K619" s="1" t="str">
        <f t="shared" si="27"/>
        <v>Clean</v>
      </c>
      <c r="L619" s="1" t="b">
        <v>1</v>
      </c>
      <c r="M619" s="1" t="str">
        <f t="shared" si="28"/>
        <v>Valid</v>
      </c>
      <c r="N619">
        <v>6</v>
      </c>
      <c r="O619" s="1" t="str">
        <f t="shared" si="29"/>
        <v>Valid</v>
      </c>
      <c r="P619" t="s">
        <v>14</v>
      </c>
      <c r="Q619" s="1" t="str">
        <v>Car</v>
      </c>
      <c r="R619">
        <v>1</v>
      </c>
      <c r="S619" s="2" t="s">
        <v>34</v>
      </c>
    </row>
    <row r="620" spans="1:19" x14ac:dyDescent="0.35">
      <c r="A620">
        <v>21</v>
      </c>
      <c r="B620" s="2" t="s">
        <v>38</v>
      </c>
      <c r="C620" t="s">
        <v>20</v>
      </c>
      <c r="D620" s="1" t="str">
        <v>Female</v>
      </c>
      <c r="E620">
        <v>2</v>
      </c>
      <c r="F620" t="s">
        <v>23</v>
      </c>
      <c r="G620" t="s">
        <v>27</v>
      </c>
      <c r="H620" t="s">
        <v>27</v>
      </c>
      <c r="I620">
        <v>3441</v>
      </c>
      <c r="J620" s="2" t="s">
        <v>43</v>
      </c>
      <c r="K620" s="1" t="str">
        <f t="shared" si="27"/>
        <v>Clean</v>
      </c>
      <c r="L620" s="1" t="b">
        <v>1</v>
      </c>
      <c r="M620" s="1" t="str">
        <f t="shared" si="28"/>
        <v>Valid</v>
      </c>
      <c r="N620">
        <v>30</v>
      </c>
      <c r="O620" s="1" t="str">
        <f t="shared" si="29"/>
        <v>Valid</v>
      </c>
      <c r="P620" t="s">
        <v>13</v>
      </c>
      <c r="Q620" s="1" t="str">
        <v>Furniture/Equipment</v>
      </c>
      <c r="R620">
        <v>2</v>
      </c>
      <c r="S620" s="2" t="s">
        <v>35</v>
      </c>
    </row>
    <row r="621" spans="1:19" x14ac:dyDescent="0.35">
      <c r="A621">
        <v>49</v>
      </c>
      <c r="B621" s="2" t="s">
        <v>39</v>
      </c>
      <c r="C621" t="s">
        <v>19</v>
      </c>
      <c r="D621" s="1" t="str">
        <v>Male</v>
      </c>
      <c r="E621">
        <v>1</v>
      </c>
      <c r="F621" t="s">
        <v>21</v>
      </c>
      <c r="G621" t="s">
        <v>24</v>
      </c>
      <c r="H621" t="s">
        <v>10</v>
      </c>
      <c r="I621">
        <v>640</v>
      </c>
      <c r="J621" s="2" t="s">
        <v>41</v>
      </c>
      <c r="K621" s="1" t="str">
        <f t="shared" si="27"/>
        <v>Has Spaces</v>
      </c>
      <c r="L621" s="1" t="b">
        <v>1</v>
      </c>
      <c r="M621" s="1" t="str">
        <f t="shared" si="28"/>
        <v>Valid</v>
      </c>
      <c r="N621">
        <v>12</v>
      </c>
      <c r="O621" s="1" t="str">
        <f t="shared" si="29"/>
        <v>Valid</v>
      </c>
      <c r="P621" t="s">
        <v>14</v>
      </c>
      <c r="Q621" s="1" t="str">
        <v>Car</v>
      </c>
      <c r="R621">
        <v>1</v>
      </c>
      <c r="S621" s="2" t="s">
        <v>34</v>
      </c>
    </row>
    <row r="622" spans="1:19" x14ac:dyDescent="0.35">
      <c r="A622">
        <v>27</v>
      </c>
      <c r="B622" s="2" t="s">
        <v>38</v>
      </c>
      <c r="C622" t="s">
        <v>19</v>
      </c>
      <c r="D622" s="1" t="str">
        <v>Male</v>
      </c>
      <c r="E622">
        <v>2</v>
      </c>
      <c r="F622" t="s">
        <v>21</v>
      </c>
      <c r="G622" t="s">
        <v>24</v>
      </c>
      <c r="H622" t="s">
        <v>27</v>
      </c>
      <c r="I622">
        <v>3652</v>
      </c>
      <c r="J622" s="2" t="s">
        <v>43</v>
      </c>
      <c r="K622" s="1" t="str">
        <f t="shared" si="27"/>
        <v>Clean</v>
      </c>
      <c r="L622" s="1" t="b">
        <v>1</v>
      </c>
      <c r="M622" s="1" t="str">
        <f t="shared" si="28"/>
        <v>Valid</v>
      </c>
      <c r="N622">
        <v>21</v>
      </c>
      <c r="O622" s="1" t="str">
        <f t="shared" si="29"/>
        <v>Valid</v>
      </c>
      <c r="P622" t="s">
        <v>15</v>
      </c>
      <c r="Q622" s="1" t="str">
        <v>Business</v>
      </c>
      <c r="R622">
        <v>1</v>
      </c>
      <c r="S622" s="2" t="s">
        <v>34</v>
      </c>
    </row>
    <row r="623" spans="1:19" x14ac:dyDescent="0.35">
      <c r="A623">
        <v>32</v>
      </c>
      <c r="B623" s="2" t="s">
        <v>39</v>
      </c>
      <c r="C623" t="s">
        <v>19</v>
      </c>
      <c r="D623" s="1" t="str">
        <v>Male</v>
      </c>
      <c r="E623">
        <v>2</v>
      </c>
      <c r="F623" t="s">
        <v>21</v>
      </c>
      <c r="G623" t="s">
        <v>24</v>
      </c>
      <c r="H623" t="s">
        <v>10</v>
      </c>
      <c r="I623">
        <v>1530</v>
      </c>
      <c r="J623" s="2" t="s">
        <v>41</v>
      </c>
      <c r="K623" s="1" t="str">
        <f t="shared" si="27"/>
        <v>Has Spaces</v>
      </c>
      <c r="L623" s="1" t="b">
        <v>1</v>
      </c>
      <c r="M623" s="1" t="str">
        <f t="shared" si="28"/>
        <v>Valid</v>
      </c>
      <c r="N623">
        <v>18</v>
      </c>
      <c r="O623" s="1" t="str">
        <f t="shared" si="29"/>
        <v>Valid</v>
      </c>
      <c r="P623" t="s">
        <v>14</v>
      </c>
      <c r="Q623" s="1" t="str">
        <v>Car</v>
      </c>
      <c r="R623">
        <v>2</v>
      </c>
      <c r="S623" s="2" t="s">
        <v>35</v>
      </c>
    </row>
    <row r="624" spans="1:19" x14ac:dyDescent="0.35">
      <c r="A624">
        <v>38</v>
      </c>
      <c r="B624" s="2" t="s">
        <v>39</v>
      </c>
      <c r="C624" t="s">
        <v>19</v>
      </c>
      <c r="D624" s="1" t="str">
        <v>Male</v>
      </c>
      <c r="E624">
        <v>2</v>
      </c>
      <c r="F624" t="s">
        <v>21</v>
      </c>
      <c r="G624" t="s">
        <v>10</v>
      </c>
      <c r="H624" t="s">
        <v>10</v>
      </c>
      <c r="I624">
        <v>3914</v>
      </c>
      <c r="J624" s="2" t="s">
        <v>43</v>
      </c>
      <c r="K624" s="1" t="str">
        <f t="shared" si="27"/>
        <v>Clean</v>
      </c>
      <c r="L624" s="1" t="b">
        <v>1</v>
      </c>
      <c r="M624" s="1" t="str">
        <f t="shared" si="28"/>
        <v>Valid</v>
      </c>
      <c r="N624">
        <v>48</v>
      </c>
      <c r="O624" s="1" t="str">
        <f t="shared" si="29"/>
        <v>Valid</v>
      </c>
      <c r="P624" t="s">
        <v>15</v>
      </c>
      <c r="Q624" s="1" t="str">
        <v>Business</v>
      </c>
      <c r="R624">
        <v>2</v>
      </c>
      <c r="S624" s="2" t="s">
        <v>35</v>
      </c>
    </row>
    <row r="625" spans="1:19" x14ac:dyDescent="0.35">
      <c r="A625">
        <v>22</v>
      </c>
      <c r="B625" s="2" t="s">
        <v>38</v>
      </c>
      <c r="C625" t="s">
        <v>20</v>
      </c>
      <c r="D625" s="1" t="str">
        <v>Female</v>
      </c>
      <c r="E625">
        <v>2</v>
      </c>
      <c r="F625" t="s">
        <v>23</v>
      </c>
      <c r="G625" t="s">
        <v>24</v>
      </c>
      <c r="H625" t="s">
        <v>24</v>
      </c>
      <c r="I625">
        <v>1858</v>
      </c>
      <c r="J625" s="2" t="s">
        <v>41</v>
      </c>
      <c r="K625" s="1" t="str">
        <f t="shared" si="27"/>
        <v>Has Spaces</v>
      </c>
      <c r="L625" s="1" t="b">
        <v>1</v>
      </c>
      <c r="M625" s="1" t="str">
        <f t="shared" si="28"/>
        <v>Valid</v>
      </c>
      <c r="N625">
        <v>12</v>
      </c>
      <c r="O625" s="1" t="str">
        <f t="shared" si="29"/>
        <v>Valid</v>
      </c>
      <c r="P625" t="s">
        <v>13</v>
      </c>
      <c r="Q625" s="1" t="str">
        <v>Furniture/Equipment</v>
      </c>
      <c r="R625">
        <v>1</v>
      </c>
      <c r="S625" s="2" t="s">
        <v>34</v>
      </c>
    </row>
    <row r="626" spans="1:19" x14ac:dyDescent="0.35">
      <c r="A626">
        <v>65</v>
      </c>
      <c r="B626" s="2" t="s">
        <v>37</v>
      </c>
      <c r="C626" t="s">
        <v>19</v>
      </c>
      <c r="D626" s="1" t="str">
        <v>Male</v>
      </c>
      <c r="E626">
        <v>2</v>
      </c>
      <c r="F626" t="s">
        <v>22</v>
      </c>
      <c r="G626" t="s">
        <v>24</v>
      </c>
      <c r="H626" t="s">
        <v>24</v>
      </c>
      <c r="I626">
        <v>2600</v>
      </c>
      <c r="J626" s="2" t="s">
        <v>43</v>
      </c>
      <c r="K626" s="1" t="str">
        <f t="shared" si="27"/>
        <v>Clean</v>
      </c>
      <c r="L626" s="1" t="b">
        <v>1</v>
      </c>
      <c r="M626" s="1" t="str">
        <f t="shared" si="28"/>
        <v>Valid</v>
      </c>
      <c r="N626">
        <v>18</v>
      </c>
      <c r="O626" s="1" t="str">
        <f t="shared" si="29"/>
        <v>Valid</v>
      </c>
      <c r="P626" t="s">
        <v>11</v>
      </c>
      <c r="Q626" s="1" t="str">
        <v>Radio/Tv</v>
      </c>
      <c r="R626">
        <v>2</v>
      </c>
      <c r="S626" s="2" t="s">
        <v>35</v>
      </c>
    </row>
    <row r="627" spans="1:19" x14ac:dyDescent="0.35">
      <c r="A627">
        <v>35</v>
      </c>
      <c r="B627" s="2" t="s">
        <v>39</v>
      </c>
      <c r="C627" t="s">
        <v>19</v>
      </c>
      <c r="D627" s="1" t="str">
        <v>Male</v>
      </c>
      <c r="E627">
        <v>2</v>
      </c>
      <c r="F627" t="s">
        <v>21</v>
      </c>
      <c r="G627" t="s">
        <v>10</v>
      </c>
      <c r="H627" t="s">
        <v>10</v>
      </c>
      <c r="I627">
        <v>1979</v>
      </c>
      <c r="J627" s="2" t="s">
        <v>41</v>
      </c>
      <c r="K627" s="1" t="str">
        <f t="shared" si="27"/>
        <v>Has Spaces</v>
      </c>
      <c r="L627" s="1" t="b">
        <v>1</v>
      </c>
      <c r="M627" s="1" t="str">
        <f t="shared" si="28"/>
        <v>Valid</v>
      </c>
      <c r="N627">
        <v>15</v>
      </c>
      <c r="O627" s="1" t="str">
        <f t="shared" si="29"/>
        <v>Valid</v>
      </c>
      <c r="P627" t="s">
        <v>11</v>
      </c>
      <c r="Q627" s="1" t="str">
        <v>Radio/Tv</v>
      </c>
      <c r="R627">
        <v>1</v>
      </c>
      <c r="S627" s="2" t="s">
        <v>34</v>
      </c>
    </row>
    <row r="628" spans="1:19" x14ac:dyDescent="0.35">
      <c r="A628">
        <v>41</v>
      </c>
      <c r="B628" s="2" t="s">
        <v>39</v>
      </c>
      <c r="C628" t="s">
        <v>19</v>
      </c>
      <c r="D628" s="1" t="str">
        <v>Male</v>
      </c>
      <c r="E628">
        <v>2</v>
      </c>
      <c r="F628" t="s">
        <v>21</v>
      </c>
      <c r="G628" t="s">
        <v>24</v>
      </c>
      <c r="H628" t="s">
        <v>26</v>
      </c>
      <c r="I628">
        <v>2116</v>
      </c>
      <c r="J628" s="2" t="s">
        <v>43</v>
      </c>
      <c r="K628" s="1" t="str">
        <f t="shared" si="27"/>
        <v>Clean</v>
      </c>
      <c r="L628" s="1" t="b">
        <v>1</v>
      </c>
      <c r="M628" s="1" t="str">
        <f t="shared" si="28"/>
        <v>Valid</v>
      </c>
      <c r="N628">
        <v>6</v>
      </c>
      <c r="O628" s="1" t="str">
        <f t="shared" si="29"/>
        <v>Valid</v>
      </c>
      <c r="P628" t="s">
        <v>13</v>
      </c>
      <c r="Q628" s="1" t="str">
        <v>Furniture/Equipment</v>
      </c>
      <c r="R628">
        <v>1</v>
      </c>
      <c r="S628" s="2" t="s">
        <v>34</v>
      </c>
    </row>
    <row r="629" spans="1:19" x14ac:dyDescent="0.35">
      <c r="A629">
        <v>29</v>
      </c>
      <c r="B629" s="2" t="s">
        <v>38</v>
      </c>
      <c r="C629" t="s">
        <v>19</v>
      </c>
      <c r="D629" s="1" t="str">
        <v>Male</v>
      </c>
      <c r="E629">
        <v>2</v>
      </c>
      <c r="F629" t="s">
        <v>21</v>
      </c>
      <c r="G629" t="s">
        <v>27</v>
      </c>
      <c r="H629" t="s">
        <v>27</v>
      </c>
      <c r="I629">
        <v>1437</v>
      </c>
      <c r="J629" s="2" t="s">
        <v>41</v>
      </c>
      <c r="K629" s="1" t="str">
        <f t="shared" si="27"/>
        <v>Has Spaces</v>
      </c>
      <c r="L629" s="1" t="b">
        <v>1</v>
      </c>
      <c r="M629" s="1" t="str">
        <f t="shared" si="28"/>
        <v>Valid</v>
      </c>
      <c r="N629">
        <v>9</v>
      </c>
      <c r="O629" s="1" t="str">
        <f t="shared" si="29"/>
        <v>Valid</v>
      </c>
      <c r="P629" t="s">
        <v>14</v>
      </c>
      <c r="Q629" s="1" t="str">
        <v>Car</v>
      </c>
      <c r="R629">
        <v>2</v>
      </c>
      <c r="S629" s="2" t="s">
        <v>35</v>
      </c>
    </row>
    <row r="630" spans="1:19" x14ac:dyDescent="0.35">
      <c r="A630">
        <v>36</v>
      </c>
      <c r="B630" s="2" t="s">
        <v>39</v>
      </c>
      <c r="C630" t="s">
        <v>19</v>
      </c>
      <c r="D630" s="1" t="str">
        <v>Male</v>
      </c>
      <c r="E630">
        <v>2</v>
      </c>
      <c r="F630" t="s">
        <v>21</v>
      </c>
      <c r="G630" t="s">
        <v>25</v>
      </c>
      <c r="H630" t="s">
        <v>10</v>
      </c>
      <c r="I630">
        <v>4042</v>
      </c>
      <c r="J630" s="2" t="s">
        <v>43</v>
      </c>
      <c r="K630" s="1" t="str">
        <f t="shared" si="27"/>
        <v>Clean</v>
      </c>
      <c r="L630" s="1" t="b">
        <v>1</v>
      </c>
      <c r="M630" s="1" t="str">
        <f t="shared" si="28"/>
        <v>Valid</v>
      </c>
      <c r="N630">
        <v>42</v>
      </c>
      <c r="O630" s="1" t="str">
        <f t="shared" si="29"/>
        <v>Valid</v>
      </c>
      <c r="P630" t="s">
        <v>13</v>
      </c>
      <c r="Q630" s="1" t="str">
        <v>Furniture/Equipment</v>
      </c>
      <c r="R630">
        <v>1</v>
      </c>
      <c r="S630" s="2" t="s">
        <v>34</v>
      </c>
    </row>
    <row r="631" spans="1:19" x14ac:dyDescent="0.35">
      <c r="A631">
        <v>64</v>
      </c>
      <c r="B631" s="2" t="s">
        <v>37</v>
      </c>
      <c r="C631" t="s">
        <v>19</v>
      </c>
      <c r="D631" s="1" t="str">
        <v>Male</v>
      </c>
      <c r="E631">
        <v>1</v>
      </c>
      <c r="F631" t="s">
        <v>21</v>
      </c>
      <c r="G631" t="s">
        <v>10</v>
      </c>
      <c r="H631" t="s">
        <v>10</v>
      </c>
      <c r="I631">
        <v>3832</v>
      </c>
      <c r="J631" s="2" t="s">
        <v>43</v>
      </c>
      <c r="K631" s="1" t="str">
        <f t="shared" si="27"/>
        <v>Clean</v>
      </c>
      <c r="L631" s="1" t="b">
        <v>1</v>
      </c>
      <c r="M631" s="1" t="str">
        <f t="shared" si="28"/>
        <v>Valid</v>
      </c>
      <c r="N631">
        <v>9</v>
      </c>
      <c r="O631" s="1" t="str">
        <f t="shared" si="29"/>
        <v>Valid</v>
      </c>
      <c r="P631" t="s">
        <v>12</v>
      </c>
      <c r="Q631" s="1" t="str">
        <v>Education</v>
      </c>
      <c r="R631">
        <v>1</v>
      </c>
      <c r="S631" s="2" t="s">
        <v>34</v>
      </c>
    </row>
    <row r="632" spans="1:19" x14ac:dyDescent="0.35">
      <c r="A632">
        <v>28</v>
      </c>
      <c r="B632" s="2" t="s">
        <v>38</v>
      </c>
      <c r="C632" t="s">
        <v>20</v>
      </c>
      <c r="D632" s="1" t="str">
        <v>Female</v>
      </c>
      <c r="E632">
        <v>2</v>
      </c>
      <c r="F632" t="s">
        <v>21</v>
      </c>
      <c r="G632" t="s">
        <v>24</v>
      </c>
      <c r="H632" t="s">
        <v>24</v>
      </c>
      <c r="I632">
        <v>3660</v>
      </c>
      <c r="J632" s="2" t="s">
        <v>43</v>
      </c>
      <c r="K632" s="1" t="str">
        <f t="shared" si="27"/>
        <v>Clean</v>
      </c>
      <c r="L632" s="1" t="b">
        <v>1</v>
      </c>
      <c r="M632" s="1" t="str">
        <f t="shared" si="28"/>
        <v>Valid</v>
      </c>
      <c r="N632">
        <v>24</v>
      </c>
      <c r="O632" s="1" t="str">
        <f t="shared" si="29"/>
        <v>Valid</v>
      </c>
      <c r="P632" t="s">
        <v>11</v>
      </c>
      <c r="Q632" s="1" t="str">
        <v>Radio/Tv</v>
      </c>
      <c r="R632">
        <v>1</v>
      </c>
      <c r="S632" s="2" t="s">
        <v>34</v>
      </c>
    </row>
    <row r="633" spans="1:19" x14ac:dyDescent="0.35">
      <c r="A633">
        <v>44</v>
      </c>
      <c r="B633" s="2" t="s">
        <v>39</v>
      </c>
      <c r="C633" t="s">
        <v>19</v>
      </c>
      <c r="D633" s="1" t="str">
        <v>Male</v>
      </c>
      <c r="E633">
        <v>2</v>
      </c>
      <c r="F633" t="s">
        <v>21</v>
      </c>
      <c r="G633" t="s">
        <v>24</v>
      </c>
      <c r="H633" t="s">
        <v>24</v>
      </c>
      <c r="I633">
        <v>1553</v>
      </c>
      <c r="J633" s="2" t="s">
        <v>41</v>
      </c>
      <c r="K633" s="1" t="str">
        <f t="shared" si="27"/>
        <v>Has Spaces</v>
      </c>
      <c r="L633" s="1" t="b">
        <v>1</v>
      </c>
      <c r="M633" s="1" t="str">
        <f t="shared" si="28"/>
        <v>Valid</v>
      </c>
      <c r="N633">
        <v>18</v>
      </c>
      <c r="O633" s="1" t="str">
        <f t="shared" si="29"/>
        <v>Valid</v>
      </c>
      <c r="P633" t="s">
        <v>13</v>
      </c>
      <c r="Q633" s="1" t="str">
        <v>Furniture/Equipment</v>
      </c>
      <c r="R633">
        <v>2</v>
      </c>
      <c r="S633" s="2" t="s">
        <v>35</v>
      </c>
    </row>
    <row r="634" spans="1:19" x14ac:dyDescent="0.35">
      <c r="A634">
        <v>23</v>
      </c>
      <c r="B634" s="2" t="s">
        <v>38</v>
      </c>
      <c r="C634" t="s">
        <v>19</v>
      </c>
      <c r="D634" s="1" t="str">
        <v>Male</v>
      </c>
      <c r="E634">
        <v>2</v>
      </c>
      <c r="F634" t="s">
        <v>21</v>
      </c>
      <c r="G634" t="s">
        <v>10</v>
      </c>
      <c r="H634" t="s">
        <v>27</v>
      </c>
      <c r="I634">
        <v>1444</v>
      </c>
      <c r="J634" s="2" t="s">
        <v>41</v>
      </c>
      <c r="K634" s="1" t="str">
        <f t="shared" si="27"/>
        <v>Has Spaces</v>
      </c>
      <c r="L634" s="1" t="b">
        <v>1</v>
      </c>
      <c r="M634" s="1" t="str">
        <f t="shared" si="28"/>
        <v>Valid</v>
      </c>
      <c r="N634">
        <v>15</v>
      </c>
      <c r="O634" s="1" t="str">
        <f t="shared" si="29"/>
        <v>Valid</v>
      </c>
      <c r="P634" t="s">
        <v>11</v>
      </c>
      <c r="Q634" s="1" t="str">
        <v>Radio/Tv</v>
      </c>
      <c r="R634">
        <v>1</v>
      </c>
      <c r="S634" s="2" t="s">
        <v>34</v>
      </c>
    </row>
    <row r="635" spans="1:19" x14ac:dyDescent="0.35">
      <c r="A635">
        <v>19</v>
      </c>
      <c r="B635" s="2" t="s">
        <v>38</v>
      </c>
      <c r="C635" t="s">
        <v>20</v>
      </c>
      <c r="D635" s="1" t="str">
        <v>Female</v>
      </c>
      <c r="E635">
        <v>2</v>
      </c>
      <c r="F635" t="s">
        <v>23</v>
      </c>
      <c r="G635" t="s">
        <v>24</v>
      </c>
      <c r="H635" t="s">
        <v>10</v>
      </c>
      <c r="I635">
        <v>1980</v>
      </c>
      <c r="J635" s="2" t="s">
        <v>41</v>
      </c>
      <c r="K635" s="1" t="str">
        <f t="shared" si="27"/>
        <v>Has Spaces</v>
      </c>
      <c r="L635" s="1" t="b">
        <v>1</v>
      </c>
      <c r="M635" s="1" t="str">
        <f t="shared" si="28"/>
        <v>Valid</v>
      </c>
      <c r="N635">
        <v>9</v>
      </c>
      <c r="O635" s="1" t="str">
        <f t="shared" si="29"/>
        <v>Valid</v>
      </c>
      <c r="P635" t="s">
        <v>13</v>
      </c>
      <c r="Q635" s="1" t="str">
        <v>Furniture/Equipment</v>
      </c>
      <c r="R635">
        <v>2</v>
      </c>
      <c r="S635" s="2" t="s">
        <v>35</v>
      </c>
    </row>
    <row r="636" spans="1:19" x14ac:dyDescent="0.35">
      <c r="A636">
        <v>25</v>
      </c>
      <c r="B636" s="2" t="s">
        <v>38</v>
      </c>
      <c r="C636" t="s">
        <v>20</v>
      </c>
      <c r="D636" s="1" t="str">
        <v>Female</v>
      </c>
      <c r="E636">
        <v>1</v>
      </c>
      <c r="F636" t="s">
        <v>21</v>
      </c>
      <c r="G636" t="s">
        <v>24</v>
      </c>
      <c r="H636" t="s">
        <v>27</v>
      </c>
      <c r="I636">
        <v>1355</v>
      </c>
      <c r="J636" s="2" t="s">
        <v>41</v>
      </c>
      <c r="K636" s="1" t="str">
        <f t="shared" si="27"/>
        <v>Has Spaces</v>
      </c>
      <c r="L636" s="1" t="b">
        <v>1</v>
      </c>
      <c r="M636" s="1" t="str">
        <f t="shared" si="28"/>
        <v>Valid</v>
      </c>
      <c r="N636">
        <v>24</v>
      </c>
      <c r="O636" s="1" t="str">
        <f t="shared" si="29"/>
        <v>Valid</v>
      </c>
      <c r="P636" t="s">
        <v>14</v>
      </c>
      <c r="Q636" s="1" t="str">
        <v>Car</v>
      </c>
      <c r="R636">
        <v>2</v>
      </c>
      <c r="S636" s="2" t="s">
        <v>35</v>
      </c>
    </row>
    <row r="637" spans="1:19" x14ac:dyDescent="0.35">
      <c r="A637">
        <v>47</v>
      </c>
      <c r="B637" s="2" t="s">
        <v>39</v>
      </c>
      <c r="C637" t="s">
        <v>19</v>
      </c>
      <c r="D637" s="1" t="str">
        <v>Male</v>
      </c>
      <c r="E637">
        <v>2</v>
      </c>
      <c r="F637" t="s">
        <v>21</v>
      </c>
      <c r="G637" t="s">
        <v>24</v>
      </c>
      <c r="H637" t="s">
        <v>10</v>
      </c>
      <c r="I637">
        <v>1393</v>
      </c>
      <c r="J637" s="2" t="s">
        <v>41</v>
      </c>
      <c r="K637" s="1" t="str">
        <f t="shared" si="27"/>
        <v>Has Spaces</v>
      </c>
      <c r="L637" s="1" t="b">
        <v>1</v>
      </c>
      <c r="M637" s="1" t="str">
        <f t="shared" si="28"/>
        <v>Valid</v>
      </c>
      <c r="N637">
        <v>12</v>
      </c>
      <c r="O637" s="1" t="str">
        <f t="shared" si="29"/>
        <v>Valid</v>
      </c>
      <c r="P637" t="s">
        <v>12</v>
      </c>
      <c r="Q637" s="1" t="str">
        <v>Education</v>
      </c>
      <c r="R637">
        <v>1</v>
      </c>
      <c r="S637" s="2" t="s">
        <v>34</v>
      </c>
    </row>
    <row r="638" spans="1:19" x14ac:dyDescent="0.35">
      <c r="A638">
        <v>28</v>
      </c>
      <c r="B638" s="2" t="s">
        <v>38</v>
      </c>
      <c r="C638" t="s">
        <v>20</v>
      </c>
      <c r="D638" s="1" t="str">
        <v>Female</v>
      </c>
      <c r="E638">
        <v>2</v>
      </c>
      <c r="F638" t="s">
        <v>21</v>
      </c>
      <c r="G638" t="s">
        <v>25</v>
      </c>
      <c r="H638" t="s">
        <v>10</v>
      </c>
      <c r="I638">
        <v>1376</v>
      </c>
      <c r="J638" s="2" t="s">
        <v>41</v>
      </c>
      <c r="K638" s="1" t="str">
        <f t="shared" si="27"/>
        <v>Has Spaces</v>
      </c>
      <c r="L638" s="1" t="b">
        <v>1</v>
      </c>
      <c r="M638" s="1" t="str">
        <f t="shared" si="28"/>
        <v>Valid</v>
      </c>
      <c r="N638">
        <v>24</v>
      </c>
      <c r="O638" s="1" t="str">
        <f t="shared" si="29"/>
        <v>Valid</v>
      </c>
      <c r="P638" t="s">
        <v>11</v>
      </c>
      <c r="Q638" s="1" t="str">
        <v>Radio/Tv</v>
      </c>
      <c r="R638">
        <v>1</v>
      </c>
      <c r="S638" s="2" t="s">
        <v>34</v>
      </c>
    </row>
    <row r="639" spans="1:19" x14ac:dyDescent="0.35">
      <c r="A639">
        <v>21</v>
      </c>
      <c r="B639" s="2" t="s">
        <v>38</v>
      </c>
      <c r="C639" t="s">
        <v>19</v>
      </c>
      <c r="D639" s="1" t="str">
        <v>Male</v>
      </c>
      <c r="E639">
        <v>2</v>
      </c>
      <c r="F639" t="s">
        <v>21</v>
      </c>
      <c r="G639" t="s">
        <v>24</v>
      </c>
      <c r="H639" t="s">
        <v>10</v>
      </c>
      <c r="I639">
        <v>15653</v>
      </c>
      <c r="J639" s="2" t="s">
        <v>42</v>
      </c>
      <c r="K639" s="1" t="str">
        <f t="shared" si="27"/>
        <v>Clean</v>
      </c>
      <c r="L639" s="1" t="b">
        <v>1</v>
      </c>
      <c r="M639" s="1" t="str">
        <f t="shared" si="28"/>
        <v>Valid</v>
      </c>
      <c r="N639">
        <v>60</v>
      </c>
      <c r="O639" s="1" t="str">
        <f t="shared" si="29"/>
        <v>Valid</v>
      </c>
      <c r="P639" t="s">
        <v>11</v>
      </c>
      <c r="Q639" s="1" t="str">
        <v>Radio/Tv</v>
      </c>
      <c r="R639">
        <v>1</v>
      </c>
      <c r="S639" s="2" t="s">
        <v>34</v>
      </c>
    </row>
    <row r="640" spans="1:19" x14ac:dyDescent="0.35">
      <c r="A640">
        <v>34</v>
      </c>
      <c r="B640" s="2" t="s">
        <v>39</v>
      </c>
      <c r="C640" t="s">
        <v>20</v>
      </c>
      <c r="D640" s="1" t="str">
        <v>Female</v>
      </c>
      <c r="E640">
        <v>2</v>
      </c>
      <c r="F640" t="s">
        <v>21</v>
      </c>
      <c r="G640" t="s">
        <v>24</v>
      </c>
      <c r="H640" t="s">
        <v>10</v>
      </c>
      <c r="I640">
        <v>1493</v>
      </c>
      <c r="J640" s="2" t="s">
        <v>41</v>
      </c>
      <c r="K640" s="1" t="str">
        <f t="shared" si="27"/>
        <v>Has Spaces</v>
      </c>
      <c r="L640" s="1" t="b">
        <v>1</v>
      </c>
      <c r="M640" s="1" t="str">
        <f t="shared" si="28"/>
        <v>Valid</v>
      </c>
      <c r="N640">
        <v>12</v>
      </c>
      <c r="O640" s="1" t="str">
        <f t="shared" si="29"/>
        <v>Valid</v>
      </c>
      <c r="P640" t="s">
        <v>11</v>
      </c>
      <c r="Q640" s="1" t="str">
        <v>Radio/Tv</v>
      </c>
      <c r="R640">
        <v>1</v>
      </c>
      <c r="S640" s="2" t="s">
        <v>34</v>
      </c>
    </row>
    <row r="641" spans="1:19" x14ac:dyDescent="0.35">
      <c r="A641">
        <v>26</v>
      </c>
      <c r="B641" s="2" t="s">
        <v>38</v>
      </c>
      <c r="C641" t="s">
        <v>19</v>
      </c>
      <c r="D641" s="1" t="str">
        <v>Male</v>
      </c>
      <c r="E641">
        <v>2</v>
      </c>
      <c r="F641" t="s">
        <v>21</v>
      </c>
      <c r="G641" t="s">
        <v>24</v>
      </c>
      <c r="H641" t="s">
        <v>24</v>
      </c>
      <c r="I641">
        <v>4370</v>
      </c>
      <c r="J641" s="2" t="s">
        <v>43</v>
      </c>
      <c r="K641" s="1" t="str">
        <f t="shared" si="27"/>
        <v>Clean</v>
      </c>
      <c r="L641" s="1" t="b">
        <v>1</v>
      </c>
      <c r="M641" s="1" t="str">
        <f t="shared" si="28"/>
        <v>Valid</v>
      </c>
      <c r="N641">
        <v>42</v>
      </c>
      <c r="O641" s="1" t="str">
        <f t="shared" si="29"/>
        <v>Valid</v>
      </c>
      <c r="P641" t="s">
        <v>11</v>
      </c>
      <c r="Q641" s="1" t="str">
        <v>Radio/Tv</v>
      </c>
      <c r="R641">
        <v>2</v>
      </c>
      <c r="S641" s="2" t="s">
        <v>35</v>
      </c>
    </row>
    <row r="642" spans="1:19" x14ac:dyDescent="0.35">
      <c r="A642">
        <v>27</v>
      </c>
      <c r="B642" s="2" t="s">
        <v>38</v>
      </c>
      <c r="C642" t="s">
        <v>20</v>
      </c>
      <c r="D642" s="1" t="str">
        <v>Female</v>
      </c>
      <c r="E642">
        <v>0</v>
      </c>
      <c r="F642" t="s">
        <v>21</v>
      </c>
      <c r="G642" t="s">
        <v>24</v>
      </c>
      <c r="H642" t="s">
        <v>24</v>
      </c>
      <c r="I642">
        <v>750</v>
      </c>
      <c r="J642" s="2" t="s">
        <v>41</v>
      </c>
      <c r="K642" s="1" t="str">
        <f t="shared" si="27"/>
        <v>Has Spaces</v>
      </c>
      <c r="L642" s="1" t="b">
        <v>1</v>
      </c>
      <c r="M642" s="1" t="str">
        <f t="shared" si="28"/>
        <v>Valid</v>
      </c>
      <c r="N642">
        <v>18</v>
      </c>
      <c r="O642" s="1" t="str">
        <f t="shared" si="29"/>
        <v>Valid</v>
      </c>
      <c r="P642" t="s">
        <v>12</v>
      </c>
      <c r="Q642" s="1" t="str">
        <v>Education</v>
      </c>
      <c r="R642">
        <v>2</v>
      </c>
      <c r="S642" s="2" t="s">
        <v>35</v>
      </c>
    </row>
    <row r="643" spans="1:19" x14ac:dyDescent="0.35">
      <c r="A643">
        <v>38</v>
      </c>
      <c r="B643" s="2" t="s">
        <v>39</v>
      </c>
      <c r="C643" t="s">
        <v>19</v>
      </c>
      <c r="D643" s="1" t="str">
        <v>Male</v>
      </c>
      <c r="E643">
        <v>1</v>
      </c>
      <c r="F643" t="s">
        <v>21</v>
      </c>
      <c r="G643" t="s">
        <v>24</v>
      </c>
      <c r="H643" t="s">
        <v>27</v>
      </c>
      <c r="I643">
        <v>1308</v>
      </c>
      <c r="J643" s="2" t="s">
        <v>41</v>
      </c>
      <c r="K643" s="1" t="str">
        <f t="shared" ref="K643:K706" si="30">IF(J643=TRIM(J643),"Clean","Has Spaces")</f>
        <v>Has Spaces</v>
      </c>
      <c r="L643" s="1" t="b">
        <v>1</v>
      </c>
      <c r="M643" s="1" t="str">
        <f t="shared" ref="M643:M706" si="31">IF(I643&gt;0,"Valid", "Invalid")</f>
        <v>Valid</v>
      </c>
      <c r="N643">
        <v>15</v>
      </c>
      <c r="O643" s="1" t="str">
        <f t="shared" ref="O643:O706" si="32">IF(N643&lt;=0,"invalid", "Valid")</f>
        <v>Valid</v>
      </c>
      <c r="P643" t="s">
        <v>17</v>
      </c>
      <c r="Q643" s="1" t="str">
        <v>Repairs</v>
      </c>
      <c r="R643">
        <v>1</v>
      </c>
      <c r="S643" s="2" t="s">
        <v>34</v>
      </c>
    </row>
    <row r="644" spans="1:19" x14ac:dyDescent="0.35">
      <c r="A644">
        <v>40</v>
      </c>
      <c r="B644" s="2" t="s">
        <v>39</v>
      </c>
      <c r="C644" t="s">
        <v>19</v>
      </c>
      <c r="D644" s="1" t="str">
        <v>Male</v>
      </c>
      <c r="E644">
        <v>3</v>
      </c>
      <c r="F644" t="s">
        <v>21</v>
      </c>
      <c r="G644" t="s">
        <v>27</v>
      </c>
      <c r="H644" t="s">
        <v>10</v>
      </c>
      <c r="I644">
        <v>4623</v>
      </c>
      <c r="J644" s="2" t="s">
        <v>43</v>
      </c>
      <c r="K644" s="1" t="str">
        <f t="shared" si="30"/>
        <v>Clean</v>
      </c>
      <c r="L644" s="1" t="b">
        <v>1</v>
      </c>
      <c r="M644" s="1" t="str">
        <f t="shared" si="31"/>
        <v>Valid</v>
      </c>
      <c r="N644">
        <v>15</v>
      </c>
      <c r="O644" s="1" t="str">
        <f t="shared" si="32"/>
        <v>Valid</v>
      </c>
      <c r="P644" t="s">
        <v>12</v>
      </c>
      <c r="Q644" s="1" t="str">
        <v>Education</v>
      </c>
      <c r="R644">
        <v>2</v>
      </c>
      <c r="S644" s="2" t="s">
        <v>35</v>
      </c>
    </row>
    <row r="645" spans="1:19" x14ac:dyDescent="0.35">
      <c r="A645">
        <v>33</v>
      </c>
      <c r="B645" s="2" t="s">
        <v>39</v>
      </c>
      <c r="C645" t="s">
        <v>19</v>
      </c>
      <c r="D645" s="1" t="str">
        <v>Male</v>
      </c>
      <c r="E645">
        <v>2</v>
      </c>
      <c r="F645" t="s">
        <v>21</v>
      </c>
      <c r="G645" t="s">
        <v>24</v>
      </c>
      <c r="H645" t="s">
        <v>10</v>
      </c>
      <c r="I645">
        <v>1851</v>
      </c>
      <c r="J645" s="2" t="s">
        <v>41</v>
      </c>
      <c r="K645" s="1" t="str">
        <f t="shared" si="30"/>
        <v>Has Spaces</v>
      </c>
      <c r="L645" s="1" t="b">
        <v>1</v>
      </c>
      <c r="M645" s="1" t="str">
        <f t="shared" si="31"/>
        <v>Valid</v>
      </c>
      <c r="N645">
        <v>24</v>
      </c>
      <c r="O645" s="1" t="str">
        <f t="shared" si="32"/>
        <v>Valid</v>
      </c>
      <c r="P645" t="s">
        <v>11</v>
      </c>
      <c r="Q645" s="1" t="str">
        <v>Radio/Tv</v>
      </c>
      <c r="R645">
        <v>1</v>
      </c>
      <c r="S645" s="2" t="s">
        <v>34</v>
      </c>
    </row>
    <row r="646" spans="1:19" x14ac:dyDescent="0.35">
      <c r="A646">
        <v>32</v>
      </c>
      <c r="B646" s="2" t="s">
        <v>39</v>
      </c>
      <c r="C646" t="s">
        <v>19</v>
      </c>
      <c r="D646" s="1" t="str">
        <v>Male</v>
      </c>
      <c r="E646">
        <v>3</v>
      </c>
      <c r="F646" t="s">
        <v>21</v>
      </c>
      <c r="G646" t="s">
        <v>24</v>
      </c>
      <c r="H646" t="s">
        <v>24</v>
      </c>
      <c r="I646">
        <v>1880</v>
      </c>
      <c r="J646" s="2" t="s">
        <v>41</v>
      </c>
      <c r="K646" s="1" t="str">
        <f t="shared" si="30"/>
        <v>Has Spaces</v>
      </c>
      <c r="L646" s="1" t="b">
        <v>1</v>
      </c>
      <c r="M646" s="1" t="str">
        <f t="shared" si="31"/>
        <v>Valid</v>
      </c>
      <c r="N646">
        <v>18</v>
      </c>
      <c r="O646" s="1" t="str">
        <f t="shared" si="32"/>
        <v>Valid</v>
      </c>
      <c r="P646" t="s">
        <v>11</v>
      </c>
      <c r="Q646" s="1" t="str">
        <v>Radio/Tv</v>
      </c>
      <c r="R646">
        <v>1</v>
      </c>
      <c r="S646" s="2" t="s">
        <v>34</v>
      </c>
    </row>
    <row r="647" spans="1:19" x14ac:dyDescent="0.35">
      <c r="A647">
        <v>27</v>
      </c>
      <c r="B647" s="2" t="s">
        <v>38</v>
      </c>
      <c r="C647" t="s">
        <v>19</v>
      </c>
      <c r="D647" s="1" t="str">
        <v>Male</v>
      </c>
      <c r="E647">
        <v>2</v>
      </c>
      <c r="F647" t="s">
        <v>23</v>
      </c>
      <c r="G647" t="s">
        <v>10</v>
      </c>
      <c r="H647" t="s">
        <v>10</v>
      </c>
      <c r="I647">
        <v>7980</v>
      </c>
      <c r="J647" s="2" t="s">
        <v>42</v>
      </c>
      <c r="K647" s="1" t="str">
        <f t="shared" si="30"/>
        <v>Clean</v>
      </c>
      <c r="L647" s="1" t="b">
        <v>1</v>
      </c>
      <c r="M647" s="1" t="str">
        <f t="shared" si="31"/>
        <v>Valid</v>
      </c>
      <c r="N647">
        <v>36</v>
      </c>
      <c r="O647" s="1" t="str">
        <f t="shared" si="32"/>
        <v>Valid</v>
      </c>
      <c r="P647" t="s">
        <v>15</v>
      </c>
      <c r="Q647" s="1" t="str">
        <v>Business</v>
      </c>
      <c r="R647">
        <v>2</v>
      </c>
      <c r="S647" s="2" t="s">
        <v>35</v>
      </c>
    </row>
    <row r="648" spans="1:19" x14ac:dyDescent="0.35">
      <c r="A648">
        <v>32</v>
      </c>
      <c r="B648" s="2" t="s">
        <v>39</v>
      </c>
      <c r="C648" t="s">
        <v>19</v>
      </c>
      <c r="D648" s="1" t="str">
        <v>Male</v>
      </c>
      <c r="E648">
        <v>2</v>
      </c>
      <c r="F648" t="s">
        <v>21</v>
      </c>
      <c r="G648" t="s">
        <v>24</v>
      </c>
      <c r="H648" t="s">
        <v>24</v>
      </c>
      <c r="I648">
        <v>4583</v>
      </c>
      <c r="J648" s="2" t="s">
        <v>43</v>
      </c>
      <c r="K648" s="1" t="str">
        <f t="shared" si="30"/>
        <v>Clean</v>
      </c>
      <c r="L648" s="1" t="b">
        <v>1</v>
      </c>
      <c r="M648" s="1" t="str">
        <f t="shared" si="31"/>
        <v>Valid</v>
      </c>
      <c r="N648">
        <v>30</v>
      </c>
      <c r="O648" s="1" t="str">
        <f t="shared" si="32"/>
        <v>Valid</v>
      </c>
      <c r="P648" t="s">
        <v>13</v>
      </c>
      <c r="Q648" s="1" t="str">
        <v>Furniture/Equipment</v>
      </c>
      <c r="R648">
        <v>1</v>
      </c>
      <c r="S648" s="2" t="s">
        <v>34</v>
      </c>
    </row>
    <row r="649" spans="1:19" x14ac:dyDescent="0.35">
      <c r="A649">
        <v>26</v>
      </c>
      <c r="B649" s="2" t="s">
        <v>38</v>
      </c>
      <c r="C649" t="s">
        <v>20</v>
      </c>
      <c r="D649" s="1" t="str">
        <v>Female</v>
      </c>
      <c r="E649">
        <v>2</v>
      </c>
      <c r="F649" t="s">
        <v>21</v>
      </c>
      <c r="G649" t="s">
        <v>25</v>
      </c>
      <c r="H649" t="s">
        <v>10</v>
      </c>
      <c r="I649">
        <v>1386</v>
      </c>
      <c r="J649" s="2" t="s">
        <v>41</v>
      </c>
      <c r="K649" s="1" t="str">
        <f t="shared" si="30"/>
        <v>Has Spaces</v>
      </c>
      <c r="L649" s="1" t="b">
        <v>1</v>
      </c>
      <c r="M649" s="1" t="str">
        <f t="shared" si="31"/>
        <v>Valid</v>
      </c>
      <c r="N649">
        <v>12</v>
      </c>
      <c r="O649" s="1" t="str">
        <f t="shared" si="32"/>
        <v>Valid</v>
      </c>
      <c r="P649" t="s">
        <v>14</v>
      </c>
      <c r="Q649" s="1" t="str">
        <v>Car</v>
      </c>
      <c r="R649">
        <v>2</v>
      </c>
      <c r="S649" s="2" t="s">
        <v>35</v>
      </c>
    </row>
    <row r="650" spans="1:19" x14ac:dyDescent="0.35">
      <c r="A650">
        <v>38</v>
      </c>
      <c r="B650" s="2" t="s">
        <v>39</v>
      </c>
      <c r="C650" t="s">
        <v>19</v>
      </c>
      <c r="D650" s="1" t="str">
        <v>Male</v>
      </c>
      <c r="E650">
        <v>2</v>
      </c>
      <c r="F650" t="s">
        <v>22</v>
      </c>
      <c r="G650" t="s">
        <v>24</v>
      </c>
      <c r="H650" t="s">
        <v>26</v>
      </c>
      <c r="I650">
        <v>947</v>
      </c>
      <c r="J650" s="2" t="s">
        <v>41</v>
      </c>
      <c r="K650" s="1" t="str">
        <f t="shared" si="30"/>
        <v>Has Spaces</v>
      </c>
      <c r="L650" s="1" t="b">
        <v>1</v>
      </c>
      <c r="M650" s="1" t="str">
        <f t="shared" si="31"/>
        <v>Valid</v>
      </c>
      <c r="N650">
        <v>24</v>
      </c>
      <c r="O650" s="1" t="str">
        <f t="shared" si="32"/>
        <v>Valid</v>
      </c>
      <c r="P650" t="s">
        <v>14</v>
      </c>
      <c r="Q650" s="1" t="str">
        <v>Car</v>
      </c>
      <c r="R650">
        <v>2</v>
      </c>
      <c r="S650" s="2" t="s">
        <v>35</v>
      </c>
    </row>
    <row r="651" spans="1:19" x14ac:dyDescent="0.35">
      <c r="A651">
        <v>40</v>
      </c>
      <c r="B651" s="2" t="s">
        <v>39</v>
      </c>
      <c r="C651" t="s">
        <v>19</v>
      </c>
      <c r="D651" s="1" t="str">
        <v>Male</v>
      </c>
      <c r="E651">
        <v>1</v>
      </c>
      <c r="F651" t="s">
        <v>23</v>
      </c>
      <c r="G651" t="s">
        <v>24</v>
      </c>
      <c r="H651" t="s">
        <v>24</v>
      </c>
      <c r="I651">
        <v>684</v>
      </c>
      <c r="J651" s="2" t="s">
        <v>41</v>
      </c>
      <c r="K651" s="1" t="str">
        <f t="shared" si="30"/>
        <v>Has Spaces</v>
      </c>
      <c r="L651" s="1" t="b">
        <v>1</v>
      </c>
      <c r="M651" s="1" t="str">
        <f t="shared" si="31"/>
        <v>Valid</v>
      </c>
      <c r="N651">
        <v>12</v>
      </c>
      <c r="O651" s="1" t="str">
        <f t="shared" si="32"/>
        <v>Valid</v>
      </c>
      <c r="P651" t="s">
        <v>12</v>
      </c>
      <c r="Q651" s="1" t="str">
        <v>Education</v>
      </c>
      <c r="R651">
        <v>2</v>
      </c>
      <c r="S651" s="2" t="s">
        <v>35</v>
      </c>
    </row>
    <row r="652" spans="1:19" x14ac:dyDescent="0.35">
      <c r="A652">
        <v>50</v>
      </c>
      <c r="B652" s="2" t="s">
        <v>37</v>
      </c>
      <c r="C652" t="s">
        <v>19</v>
      </c>
      <c r="D652" s="1" t="str">
        <v>Male</v>
      </c>
      <c r="E652">
        <v>3</v>
      </c>
      <c r="F652" t="s">
        <v>22</v>
      </c>
      <c r="G652" t="s">
        <v>24</v>
      </c>
      <c r="H652" t="s">
        <v>24</v>
      </c>
      <c r="I652">
        <v>7476</v>
      </c>
      <c r="J652" s="2" t="s">
        <v>42</v>
      </c>
      <c r="K652" s="1" t="str">
        <f t="shared" si="30"/>
        <v>Clean</v>
      </c>
      <c r="L652" s="1" t="b">
        <v>1</v>
      </c>
      <c r="M652" s="1" t="str">
        <f t="shared" si="31"/>
        <v>Valid</v>
      </c>
      <c r="N652">
        <v>48</v>
      </c>
      <c r="O652" s="1" t="str">
        <f t="shared" si="32"/>
        <v>Valid</v>
      </c>
      <c r="P652" t="s">
        <v>12</v>
      </c>
      <c r="Q652" s="1" t="str">
        <v>Education</v>
      </c>
      <c r="R652">
        <v>1</v>
      </c>
      <c r="S652" s="2" t="s">
        <v>34</v>
      </c>
    </row>
    <row r="653" spans="1:19" x14ac:dyDescent="0.35">
      <c r="A653">
        <v>37</v>
      </c>
      <c r="B653" s="2" t="s">
        <v>39</v>
      </c>
      <c r="C653" t="s">
        <v>19</v>
      </c>
      <c r="D653" s="1" t="str">
        <v>Male</v>
      </c>
      <c r="E653">
        <v>1</v>
      </c>
      <c r="F653" t="s">
        <v>21</v>
      </c>
      <c r="G653" t="s">
        <v>24</v>
      </c>
      <c r="H653" t="s">
        <v>27</v>
      </c>
      <c r="I653">
        <v>1922</v>
      </c>
      <c r="J653" s="2" t="s">
        <v>41</v>
      </c>
      <c r="K653" s="1" t="str">
        <f t="shared" si="30"/>
        <v>Has Spaces</v>
      </c>
      <c r="L653" s="1" t="b">
        <v>1</v>
      </c>
      <c r="M653" s="1" t="str">
        <f t="shared" si="31"/>
        <v>Valid</v>
      </c>
      <c r="N653">
        <v>12</v>
      </c>
      <c r="O653" s="1" t="str">
        <f t="shared" si="32"/>
        <v>Valid</v>
      </c>
      <c r="P653" t="s">
        <v>13</v>
      </c>
      <c r="Q653" s="1" t="str">
        <v>Furniture/Equipment</v>
      </c>
      <c r="R653">
        <v>2</v>
      </c>
      <c r="S653" s="2" t="s">
        <v>35</v>
      </c>
    </row>
    <row r="654" spans="1:19" x14ac:dyDescent="0.35">
      <c r="A654">
        <v>45</v>
      </c>
      <c r="B654" s="2" t="s">
        <v>39</v>
      </c>
      <c r="C654" t="s">
        <v>19</v>
      </c>
      <c r="D654" s="1" t="str">
        <v>Male</v>
      </c>
      <c r="E654">
        <v>2</v>
      </c>
      <c r="F654" t="s">
        <v>21</v>
      </c>
      <c r="G654" t="s">
        <v>24</v>
      </c>
      <c r="H654" t="s">
        <v>24</v>
      </c>
      <c r="I654">
        <v>2303</v>
      </c>
      <c r="J654" s="2" t="s">
        <v>43</v>
      </c>
      <c r="K654" s="1" t="str">
        <f t="shared" si="30"/>
        <v>Clean</v>
      </c>
      <c r="L654" s="1" t="b">
        <v>1</v>
      </c>
      <c r="M654" s="1" t="str">
        <f t="shared" si="31"/>
        <v>Valid</v>
      </c>
      <c r="N654">
        <v>24</v>
      </c>
      <c r="O654" s="1" t="str">
        <f t="shared" si="32"/>
        <v>Valid</v>
      </c>
      <c r="P654" t="s">
        <v>14</v>
      </c>
      <c r="Q654" s="1" t="str">
        <v>Car</v>
      </c>
      <c r="R654">
        <v>2</v>
      </c>
      <c r="S654" s="2" t="s">
        <v>35</v>
      </c>
    </row>
    <row r="655" spans="1:19" x14ac:dyDescent="0.35">
      <c r="A655">
        <v>42</v>
      </c>
      <c r="B655" s="2" t="s">
        <v>39</v>
      </c>
      <c r="C655" t="s">
        <v>19</v>
      </c>
      <c r="D655" s="1" t="str">
        <v>Male</v>
      </c>
      <c r="E655">
        <v>3</v>
      </c>
      <c r="F655" t="s">
        <v>21</v>
      </c>
      <c r="G655" t="s">
        <v>27</v>
      </c>
      <c r="H655" t="s">
        <v>27</v>
      </c>
      <c r="I655">
        <v>8086</v>
      </c>
      <c r="J655" s="2" t="s">
        <v>42</v>
      </c>
      <c r="K655" s="1" t="str">
        <f t="shared" si="30"/>
        <v>Clean</v>
      </c>
      <c r="L655" s="1" t="b">
        <v>1</v>
      </c>
      <c r="M655" s="1" t="str">
        <f t="shared" si="31"/>
        <v>Valid</v>
      </c>
      <c r="N655">
        <v>36</v>
      </c>
      <c r="O655" s="1" t="str">
        <f t="shared" si="32"/>
        <v>Valid</v>
      </c>
      <c r="P655" t="s">
        <v>14</v>
      </c>
      <c r="Q655" s="1" t="str">
        <v>Car</v>
      </c>
      <c r="R655">
        <v>2</v>
      </c>
      <c r="S655" s="2" t="s">
        <v>35</v>
      </c>
    </row>
    <row r="656" spans="1:19" x14ac:dyDescent="0.35">
      <c r="A656">
        <v>35</v>
      </c>
      <c r="B656" s="2" t="s">
        <v>39</v>
      </c>
      <c r="C656" t="s">
        <v>19</v>
      </c>
      <c r="D656" s="1" t="str">
        <v>Male</v>
      </c>
      <c r="E656">
        <v>2</v>
      </c>
      <c r="F656" t="s">
        <v>21</v>
      </c>
      <c r="G656" t="s">
        <v>24</v>
      </c>
      <c r="H656" t="s">
        <v>10</v>
      </c>
      <c r="I656">
        <v>2346</v>
      </c>
      <c r="J656" s="2" t="s">
        <v>43</v>
      </c>
      <c r="K656" s="1" t="str">
        <f t="shared" si="30"/>
        <v>Clean</v>
      </c>
      <c r="L656" s="1" t="b">
        <v>1</v>
      </c>
      <c r="M656" s="1" t="str">
        <f t="shared" si="31"/>
        <v>Valid</v>
      </c>
      <c r="N656">
        <v>24</v>
      </c>
      <c r="O656" s="1" t="str">
        <f t="shared" si="32"/>
        <v>Valid</v>
      </c>
      <c r="P656" t="s">
        <v>14</v>
      </c>
      <c r="Q656" s="1" t="str">
        <v>Car</v>
      </c>
      <c r="R656">
        <v>1</v>
      </c>
      <c r="S656" s="2" t="s">
        <v>34</v>
      </c>
    </row>
    <row r="657" spans="1:19" x14ac:dyDescent="0.35">
      <c r="A657">
        <v>22</v>
      </c>
      <c r="B657" s="2" t="s">
        <v>38</v>
      </c>
      <c r="C657" t="s">
        <v>19</v>
      </c>
      <c r="D657" s="1" t="str">
        <v>Male</v>
      </c>
      <c r="E657">
        <v>2</v>
      </c>
      <c r="F657" t="s">
        <v>22</v>
      </c>
      <c r="G657" t="s">
        <v>24</v>
      </c>
      <c r="H657" t="s">
        <v>24</v>
      </c>
      <c r="I657">
        <v>3973</v>
      </c>
      <c r="J657" s="2" t="s">
        <v>43</v>
      </c>
      <c r="K657" s="1" t="str">
        <f t="shared" si="30"/>
        <v>Clean</v>
      </c>
      <c r="L657" s="1" t="b">
        <v>1</v>
      </c>
      <c r="M657" s="1" t="str">
        <f t="shared" si="31"/>
        <v>Valid</v>
      </c>
      <c r="N657">
        <v>14</v>
      </c>
      <c r="O657" s="1" t="str">
        <f t="shared" si="32"/>
        <v>Valid</v>
      </c>
      <c r="P657" t="s">
        <v>14</v>
      </c>
      <c r="Q657" s="1" t="str">
        <v>Car</v>
      </c>
      <c r="R657">
        <v>1</v>
      </c>
      <c r="S657" s="2" t="s">
        <v>34</v>
      </c>
    </row>
    <row r="658" spans="1:19" x14ac:dyDescent="0.35">
      <c r="A658">
        <v>41</v>
      </c>
      <c r="B658" s="2" t="s">
        <v>39</v>
      </c>
      <c r="C658" t="s">
        <v>19</v>
      </c>
      <c r="D658" s="1" t="str">
        <v>Male</v>
      </c>
      <c r="E658">
        <v>1</v>
      </c>
      <c r="F658" t="s">
        <v>21</v>
      </c>
      <c r="G658" t="s">
        <v>24</v>
      </c>
      <c r="H658" t="s">
        <v>27</v>
      </c>
      <c r="I658">
        <v>888</v>
      </c>
      <c r="J658" s="2" t="s">
        <v>41</v>
      </c>
      <c r="K658" s="1" t="str">
        <f t="shared" si="30"/>
        <v>Has Spaces</v>
      </c>
      <c r="L658" s="1" t="b">
        <v>1</v>
      </c>
      <c r="M658" s="1" t="str">
        <f t="shared" si="31"/>
        <v>Valid</v>
      </c>
      <c r="N658">
        <v>12</v>
      </c>
      <c r="O658" s="1" t="str">
        <f t="shared" si="32"/>
        <v>Valid</v>
      </c>
      <c r="P658" t="s">
        <v>14</v>
      </c>
      <c r="Q658" s="1" t="str">
        <v>Car</v>
      </c>
      <c r="R658">
        <v>2</v>
      </c>
      <c r="S658" s="2" t="s">
        <v>35</v>
      </c>
    </row>
    <row r="659" spans="1:19" x14ac:dyDescent="0.35">
      <c r="A659">
        <v>37</v>
      </c>
      <c r="B659" s="2" t="s">
        <v>39</v>
      </c>
      <c r="C659" t="s">
        <v>19</v>
      </c>
      <c r="D659" s="1" t="str">
        <v>Male</v>
      </c>
      <c r="E659">
        <v>2</v>
      </c>
      <c r="F659" t="s">
        <v>21</v>
      </c>
      <c r="G659" t="s">
        <v>10</v>
      </c>
      <c r="H659" t="s">
        <v>10</v>
      </c>
      <c r="I659">
        <v>10222</v>
      </c>
      <c r="J659" s="2" t="s">
        <v>42</v>
      </c>
      <c r="K659" s="1" t="str">
        <f t="shared" si="30"/>
        <v>Clean</v>
      </c>
      <c r="L659" s="1" t="b">
        <v>1</v>
      </c>
      <c r="M659" s="1" t="str">
        <f t="shared" si="31"/>
        <v>Valid</v>
      </c>
      <c r="N659">
        <v>48</v>
      </c>
      <c r="O659" s="1" t="str">
        <f t="shared" si="32"/>
        <v>Valid</v>
      </c>
      <c r="P659" t="s">
        <v>11</v>
      </c>
      <c r="Q659" s="1" t="str">
        <v>Radio/Tv</v>
      </c>
      <c r="R659">
        <v>1</v>
      </c>
      <c r="S659" s="2" t="s">
        <v>34</v>
      </c>
    </row>
    <row r="660" spans="1:19" x14ac:dyDescent="0.35">
      <c r="A660">
        <v>28</v>
      </c>
      <c r="B660" s="2" t="s">
        <v>38</v>
      </c>
      <c r="C660" t="s">
        <v>20</v>
      </c>
      <c r="D660" s="1" t="str">
        <v>Female</v>
      </c>
      <c r="E660">
        <v>2</v>
      </c>
      <c r="F660" t="s">
        <v>21</v>
      </c>
      <c r="G660" t="s">
        <v>24</v>
      </c>
      <c r="H660" t="s">
        <v>27</v>
      </c>
      <c r="I660">
        <v>4221</v>
      </c>
      <c r="J660" s="2" t="s">
        <v>43</v>
      </c>
      <c r="K660" s="1" t="str">
        <f t="shared" si="30"/>
        <v>Clean</v>
      </c>
      <c r="L660" s="1" t="b">
        <v>1</v>
      </c>
      <c r="M660" s="1" t="str">
        <f t="shared" si="31"/>
        <v>Valid</v>
      </c>
      <c r="N660">
        <v>30</v>
      </c>
      <c r="O660" s="1" t="str">
        <f t="shared" si="32"/>
        <v>Valid</v>
      </c>
      <c r="P660" t="s">
        <v>15</v>
      </c>
      <c r="Q660" s="1" t="str">
        <v>Business</v>
      </c>
      <c r="R660">
        <v>1</v>
      </c>
      <c r="S660" s="2" t="s">
        <v>34</v>
      </c>
    </row>
    <row r="661" spans="1:19" x14ac:dyDescent="0.35">
      <c r="A661">
        <v>41</v>
      </c>
      <c r="B661" s="2" t="s">
        <v>39</v>
      </c>
      <c r="C661" t="s">
        <v>19</v>
      </c>
      <c r="D661" s="1" t="str">
        <v>Male</v>
      </c>
      <c r="E661">
        <v>2</v>
      </c>
      <c r="F661" t="s">
        <v>21</v>
      </c>
      <c r="G661" t="s">
        <v>24</v>
      </c>
      <c r="H661" t="s">
        <v>27</v>
      </c>
      <c r="I661">
        <v>6361</v>
      </c>
      <c r="J661" s="2" t="s">
        <v>42</v>
      </c>
      <c r="K661" s="1" t="str">
        <f t="shared" si="30"/>
        <v>Clean</v>
      </c>
      <c r="L661" s="1" t="b">
        <v>1</v>
      </c>
      <c r="M661" s="1" t="str">
        <f t="shared" si="31"/>
        <v>Valid</v>
      </c>
      <c r="N661">
        <v>18</v>
      </c>
      <c r="O661" s="1" t="str">
        <f t="shared" si="32"/>
        <v>Valid</v>
      </c>
      <c r="P661" t="s">
        <v>13</v>
      </c>
      <c r="Q661" s="1" t="str">
        <v>Furniture/Equipment</v>
      </c>
      <c r="R661">
        <v>1</v>
      </c>
      <c r="S661" s="2" t="s">
        <v>34</v>
      </c>
    </row>
    <row r="662" spans="1:19" x14ac:dyDescent="0.35">
      <c r="A662">
        <v>23</v>
      </c>
      <c r="B662" s="2" t="s">
        <v>38</v>
      </c>
      <c r="C662" t="s">
        <v>19</v>
      </c>
      <c r="D662" s="1" t="str">
        <v>Male</v>
      </c>
      <c r="E662">
        <v>2</v>
      </c>
      <c r="F662" t="s">
        <v>23</v>
      </c>
      <c r="G662" t="s">
        <v>24</v>
      </c>
      <c r="H662" t="s">
        <v>26</v>
      </c>
      <c r="I662">
        <v>1297</v>
      </c>
      <c r="J662" s="2" t="s">
        <v>41</v>
      </c>
      <c r="K662" s="1" t="str">
        <f t="shared" si="30"/>
        <v>Has Spaces</v>
      </c>
      <c r="L662" s="1" t="b">
        <v>1</v>
      </c>
      <c r="M662" s="1" t="str">
        <f t="shared" si="31"/>
        <v>Valid</v>
      </c>
      <c r="N662">
        <v>12</v>
      </c>
      <c r="O662" s="1" t="str">
        <f t="shared" si="32"/>
        <v>Valid</v>
      </c>
      <c r="P662" t="s">
        <v>11</v>
      </c>
      <c r="Q662" s="1" t="str">
        <v>Radio/Tv</v>
      </c>
      <c r="R662">
        <v>1</v>
      </c>
      <c r="S662" s="2" t="s">
        <v>34</v>
      </c>
    </row>
    <row r="663" spans="1:19" x14ac:dyDescent="0.35">
      <c r="A663">
        <v>23</v>
      </c>
      <c r="B663" s="2" t="s">
        <v>38</v>
      </c>
      <c r="C663" t="s">
        <v>19</v>
      </c>
      <c r="D663" s="1" t="str">
        <v>Male</v>
      </c>
      <c r="E663">
        <v>2</v>
      </c>
      <c r="F663" t="s">
        <v>21</v>
      </c>
      <c r="G663" t="s">
        <v>10</v>
      </c>
      <c r="H663" t="s">
        <v>24</v>
      </c>
      <c r="I663">
        <v>900</v>
      </c>
      <c r="J663" s="2" t="s">
        <v>41</v>
      </c>
      <c r="K663" s="1" t="str">
        <f t="shared" si="30"/>
        <v>Has Spaces</v>
      </c>
      <c r="L663" s="1" t="b">
        <v>1</v>
      </c>
      <c r="M663" s="1" t="str">
        <f t="shared" si="31"/>
        <v>Valid</v>
      </c>
      <c r="N663">
        <v>12</v>
      </c>
      <c r="O663" s="1" t="str">
        <f t="shared" si="32"/>
        <v>Valid</v>
      </c>
      <c r="P663" t="s">
        <v>14</v>
      </c>
      <c r="Q663" s="1" t="str">
        <v>Car</v>
      </c>
      <c r="R663">
        <v>2</v>
      </c>
      <c r="S663" s="2" t="s">
        <v>35</v>
      </c>
    </row>
    <row r="664" spans="1:19" x14ac:dyDescent="0.35">
      <c r="A664">
        <v>50</v>
      </c>
      <c r="B664" s="2" t="s">
        <v>37</v>
      </c>
      <c r="C664" t="s">
        <v>19</v>
      </c>
      <c r="D664" s="1" t="str">
        <v>Male</v>
      </c>
      <c r="E664">
        <v>2</v>
      </c>
      <c r="F664" t="s">
        <v>21</v>
      </c>
      <c r="G664" t="s">
        <v>24</v>
      </c>
      <c r="H664" t="s">
        <v>10</v>
      </c>
      <c r="I664">
        <v>2241</v>
      </c>
      <c r="J664" s="2" t="s">
        <v>43</v>
      </c>
      <c r="K664" s="1" t="str">
        <f t="shared" si="30"/>
        <v>Clean</v>
      </c>
      <c r="L664" s="1" t="b">
        <v>1</v>
      </c>
      <c r="M664" s="1" t="str">
        <f t="shared" si="31"/>
        <v>Valid</v>
      </c>
      <c r="N664">
        <v>21</v>
      </c>
      <c r="O664" s="1" t="str">
        <f t="shared" si="32"/>
        <v>Valid</v>
      </c>
      <c r="P664" t="s">
        <v>13</v>
      </c>
      <c r="Q664" s="1" t="str">
        <v>Furniture/Equipment</v>
      </c>
      <c r="R664">
        <v>1</v>
      </c>
      <c r="S664" s="2" t="s">
        <v>34</v>
      </c>
    </row>
    <row r="665" spans="1:19" x14ac:dyDescent="0.35">
      <c r="A665">
        <v>35</v>
      </c>
      <c r="B665" s="2" t="s">
        <v>39</v>
      </c>
      <c r="C665" t="s">
        <v>19</v>
      </c>
      <c r="D665" s="1" t="str">
        <v>Male</v>
      </c>
      <c r="E665">
        <v>3</v>
      </c>
      <c r="F665" t="s">
        <v>21</v>
      </c>
      <c r="G665" t="s">
        <v>24</v>
      </c>
      <c r="H665" t="s">
        <v>27</v>
      </c>
      <c r="I665">
        <v>1050</v>
      </c>
      <c r="J665" s="2" t="s">
        <v>41</v>
      </c>
      <c r="K665" s="1" t="str">
        <f t="shared" si="30"/>
        <v>Has Spaces</v>
      </c>
      <c r="L665" s="1" t="b">
        <v>1</v>
      </c>
      <c r="M665" s="1" t="str">
        <f t="shared" si="31"/>
        <v>Valid</v>
      </c>
      <c r="N665">
        <v>6</v>
      </c>
      <c r="O665" s="1" t="str">
        <f t="shared" si="32"/>
        <v>Valid</v>
      </c>
      <c r="P665" t="s">
        <v>13</v>
      </c>
      <c r="Q665" s="1" t="str">
        <v>Furniture/Equipment</v>
      </c>
      <c r="R665">
        <v>1</v>
      </c>
      <c r="S665" s="2" t="s">
        <v>34</v>
      </c>
    </row>
    <row r="666" spans="1:19" x14ac:dyDescent="0.35">
      <c r="A666">
        <v>50</v>
      </c>
      <c r="B666" s="2" t="s">
        <v>37</v>
      </c>
      <c r="C666" t="s">
        <v>20</v>
      </c>
      <c r="D666" s="1" t="str">
        <v>Female</v>
      </c>
      <c r="E666">
        <v>1</v>
      </c>
      <c r="F666" t="s">
        <v>21</v>
      </c>
      <c r="G666" t="s">
        <v>24</v>
      </c>
      <c r="H666" t="s">
        <v>26</v>
      </c>
      <c r="I666">
        <v>1047</v>
      </c>
      <c r="J666" s="2" t="s">
        <v>41</v>
      </c>
      <c r="K666" s="1" t="str">
        <f t="shared" si="30"/>
        <v>Has Spaces</v>
      </c>
      <c r="L666" s="1" t="b">
        <v>1</v>
      </c>
      <c r="M666" s="1" t="str">
        <f t="shared" si="31"/>
        <v>Valid</v>
      </c>
      <c r="N666">
        <v>6</v>
      </c>
      <c r="O666" s="1" t="str">
        <f t="shared" si="32"/>
        <v>Valid</v>
      </c>
      <c r="P666" t="s">
        <v>12</v>
      </c>
      <c r="Q666" s="1" t="str">
        <v>Education</v>
      </c>
      <c r="R666">
        <v>1</v>
      </c>
      <c r="S666" s="2" t="s">
        <v>34</v>
      </c>
    </row>
    <row r="667" spans="1:19" x14ac:dyDescent="0.35">
      <c r="A667">
        <v>27</v>
      </c>
      <c r="B667" s="2" t="s">
        <v>38</v>
      </c>
      <c r="C667" t="s">
        <v>19</v>
      </c>
      <c r="D667" s="1" t="str">
        <v>Male</v>
      </c>
      <c r="E667">
        <v>3</v>
      </c>
      <c r="F667" t="s">
        <v>21</v>
      </c>
      <c r="G667" t="s">
        <v>24</v>
      </c>
      <c r="H667" t="s">
        <v>10</v>
      </c>
      <c r="I667">
        <v>6314</v>
      </c>
      <c r="J667" s="2" t="s">
        <v>42</v>
      </c>
      <c r="K667" s="1" t="str">
        <f t="shared" si="30"/>
        <v>Clean</v>
      </c>
      <c r="L667" s="1" t="b">
        <v>1</v>
      </c>
      <c r="M667" s="1" t="str">
        <f t="shared" si="31"/>
        <v>Valid</v>
      </c>
      <c r="N667">
        <v>24</v>
      </c>
      <c r="O667" s="1" t="str">
        <f t="shared" si="32"/>
        <v>Valid</v>
      </c>
      <c r="P667" t="s">
        <v>18</v>
      </c>
      <c r="Q667" s="1" t="str">
        <v>Vacation/Others</v>
      </c>
      <c r="R667">
        <v>1</v>
      </c>
      <c r="S667" s="2" t="s">
        <v>34</v>
      </c>
    </row>
    <row r="668" spans="1:19" x14ac:dyDescent="0.35">
      <c r="A668">
        <v>34</v>
      </c>
      <c r="B668" s="2" t="s">
        <v>39</v>
      </c>
      <c r="C668" t="s">
        <v>19</v>
      </c>
      <c r="D668" s="1" t="str">
        <v>Male</v>
      </c>
      <c r="E668">
        <v>2</v>
      </c>
      <c r="F668" t="s">
        <v>21</v>
      </c>
      <c r="G668" t="s">
        <v>26</v>
      </c>
      <c r="H668" t="s">
        <v>27</v>
      </c>
      <c r="I668">
        <v>3496</v>
      </c>
      <c r="J668" s="2" t="s">
        <v>43</v>
      </c>
      <c r="K668" s="1" t="str">
        <f t="shared" si="30"/>
        <v>Clean</v>
      </c>
      <c r="L668" s="1" t="b">
        <v>1</v>
      </c>
      <c r="M668" s="1" t="str">
        <f t="shared" si="31"/>
        <v>Valid</v>
      </c>
      <c r="N668">
        <v>30</v>
      </c>
      <c r="O668" s="1" t="str">
        <f t="shared" si="32"/>
        <v>Valid</v>
      </c>
      <c r="P668" t="s">
        <v>13</v>
      </c>
      <c r="Q668" s="1" t="str">
        <v>Furniture/Equipment</v>
      </c>
      <c r="R668">
        <v>1</v>
      </c>
      <c r="S668" s="2" t="s">
        <v>34</v>
      </c>
    </row>
    <row r="669" spans="1:19" x14ac:dyDescent="0.35">
      <c r="A669">
        <v>27</v>
      </c>
      <c r="B669" s="2" t="s">
        <v>38</v>
      </c>
      <c r="C669" t="s">
        <v>20</v>
      </c>
      <c r="D669" s="1" t="str">
        <v>Female</v>
      </c>
      <c r="E669">
        <v>2</v>
      </c>
      <c r="F669" t="s">
        <v>21</v>
      </c>
      <c r="G669" t="s">
        <v>24</v>
      </c>
      <c r="H669" t="s">
        <v>10</v>
      </c>
      <c r="I669">
        <v>3609</v>
      </c>
      <c r="J669" s="2" t="s">
        <v>43</v>
      </c>
      <c r="K669" s="1" t="str">
        <f t="shared" si="30"/>
        <v>Clean</v>
      </c>
      <c r="L669" s="1" t="b">
        <v>1</v>
      </c>
      <c r="M669" s="1" t="str">
        <f t="shared" si="31"/>
        <v>Valid</v>
      </c>
      <c r="N669">
        <v>48</v>
      </c>
      <c r="O669" s="1" t="str">
        <f t="shared" si="32"/>
        <v>Valid</v>
      </c>
      <c r="P669" t="s">
        <v>15</v>
      </c>
      <c r="Q669" s="1" t="str">
        <v>Business</v>
      </c>
      <c r="R669">
        <v>1</v>
      </c>
      <c r="S669" s="2" t="s">
        <v>34</v>
      </c>
    </row>
    <row r="670" spans="1:19" x14ac:dyDescent="0.35">
      <c r="A670">
        <v>43</v>
      </c>
      <c r="B670" s="2" t="s">
        <v>39</v>
      </c>
      <c r="C670" t="s">
        <v>19</v>
      </c>
      <c r="D670" s="1" t="str">
        <v>Male</v>
      </c>
      <c r="E670">
        <v>2</v>
      </c>
      <c r="F670" t="s">
        <v>23</v>
      </c>
      <c r="G670" t="s">
        <v>24</v>
      </c>
      <c r="H670" t="s">
        <v>24</v>
      </c>
      <c r="I670">
        <v>4843</v>
      </c>
      <c r="J670" s="2" t="s">
        <v>43</v>
      </c>
      <c r="K670" s="1" t="str">
        <f t="shared" si="30"/>
        <v>Clean</v>
      </c>
      <c r="L670" s="1" t="b">
        <v>1</v>
      </c>
      <c r="M670" s="1" t="str">
        <f t="shared" si="31"/>
        <v>Valid</v>
      </c>
      <c r="N670">
        <v>12</v>
      </c>
      <c r="O670" s="1" t="str">
        <f t="shared" si="32"/>
        <v>Valid</v>
      </c>
      <c r="P670" t="s">
        <v>14</v>
      </c>
      <c r="Q670" s="1" t="str">
        <v>Car</v>
      </c>
      <c r="R670">
        <v>2</v>
      </c>
      <c r="S670" s="2" t="s">
        <v>35</v>
      </c>
    </row>
    <row r="671" spans="1:19" x14ac:dyDescent="0.35">
      <c r="A671">
        <v>47</v>
      </c>
      <c r="B671" s="2" t="s">
        <v>39</v>
      </c>
      <c r="C671" t="s">
        <v>19</v>
      </c>
      <c r="D671" s="1" t="str">
        <v>Male</v>
      </c>
      <c r="E671">
        <v>2</v>
      </c>
      <c r="F671" t="s">
        <v>21</v>
      </c>
      <c r="G671" t="s">
        <v>24</v>
      </c>
      <c r="H671" t="s">
        <v>26</v>
      </c>
      <c r="I671">
        <v>3017</v>
      </c>
      <c r="J671" s="2" t="s">
        <v>43</v>
      </c>
      <c r="K671" s="1" t="str">
        <f t="shared" si="30"/>
        <v>Clean</v>
      </c>
      <c r="L671" s="1" t="b">
        <v>1</v>
      </c>
      <c r="M671" s="1" t="str">
        <f t="shared" si="31"/>
        <v>Valid</v>
      </c>
      <c r="N671">
        <v>30</v>
      </c>
      <c r="O671" s="1" t="str">
        <f t="shared" si="32"/>
        <v>Valid</v>
      </c>
      <c r="P671" t="s">
        <v>11</v>
      </c>
      <c r="Q671" s="1" t="str">
        <v>Radio/Tv</v>
      </c>
      <c r="R671">
        <v>1</v>
      </c>
      <c r="S671" s="2" t="s">
        <v>34</v>
      </c>
    </row>
    <row r="672" spans="1:19" x14ac:dyDescent="0.35">
      <c r="A672">
        <v>27</v>
      </c>
      <c r="B672" s="2" t="s">
        <v>38</v>
      </c>
      <c r="C672" t="s">
        <v>19</v>
      </c>
      <c r="D672" s="1" t="str">
        <v>Male</v>
      </c>
      <c r="E672">
        <v>1</v>
      </c>
      <c r="F672" t="s">
        <v>21</v>
      </c>
      <c r="G672" t="s">
        <v>27</v>
      </c>
      <c r="H672" t="s">
        <v>10</v>
      </c>
      <c r="I672">
        <v>4139</v>
      </c>
      <c r="J672" s="2" t="s">
        <v>43</v>
      </c>
      <c r="K672" s="1" t="str">
        <f t="shared" si="30"/>
        <v>Clean</v>
      </c>
      <c r="L672" s="1" t="b">
        <v>1</v>
      </c>
      <c r="M672" s="1" t="str">
        <f t="shared" si="31"/>
        <v>Valid</v>
      </c>
      <c r="N672">
        <v>24</v>
      </c>
      <c r="O672" s="1" t="str">
        <f t="shared" si="32"/>
        <v>Valid</v>
      </c>
      <c r="P672" t="s">
        <v>15</v>
      </c>
      <c r="Q672" s="1" t="str">
        <v>Business</v>
      </c>
      <c r="R672">
        <v>1</v>
      </c>
      <c r="S672" s="2" t="s">
        <v>34</v>
      </c>
    </row>
    <row r="673" spans="1:19" x14ac:dyDescent="0.35">
      <c r="A673">
        <v>31</v>
      </c>
      <c r="B673" s="2" t="s">
        <v>39</v>
      </c>
      <c r="C673" t="s">
        <v>19</v>
      </c>
      <c r="D673" s="1" t="str">
        <v>Male</v>
      </c>
      <c r="E673">
        <v>2</v>
      </c>
      <c r="F673" t="s">
        <v>21</v>
      </c>
      <c r="G673" t="s">
        <v>27</v>
      </c>
      <c r="H673" t="s">
        <v>10</v>
      </c>
      <c r="I673">
        <v>5742</v>
      </c>
      <c r="J673" s="2" t="s">
        <v>42</v>
      </c>
      <c r="K673" s="1" t="str">
        <f t="shared" si="30"/>
        <v>Clean</v>
      </c>
      <c r="L673" s="1" t="b">
        <v>1</v>
      </c>
      <c r="M673" s="1" t="str">
        <f t="shared" si="31"/>
        <v>Valid</v>
      </c>
      <c r="N673">
        <v>36</v>
      </c>
      <c r="O673" s="1" t="str">
        <f t="shared" si="32"/>
        <v>Valid</v>
      </c>
      <c r="P673" t="s">
        <v>15</v>
      </c>
      <c r="Q673" s="1" t="str">
        <v>Business</v>
      </c>
      <c r="R673">
        <v>1</v>
      </c>
      <c r="S673" s="2" t="s">
        <v>34</v>
      </c>
    </row>
    <row r="674" spans="1:19" x14ac:dyDescent="0.35">
      <c r="A674">
        <v>42</v>
      </c>
      <c r="B674" s="2" t="s">
        <v>39</v>
      </c>
      <c r="C674" t="s">
        <v>19</v>
      </c>
      <c r="D674" s="1" t="str">
        <v>Male</v>
      </c>
      <c r="E674">
        <v>3</v>
      </c>
      <c r="F674" t="s">
        <v>21</v>
      </c>
      <c r="G674" t="s">
        <v>24</v>
      </c>
      <c r="H674" t="s">
        <v>10</v>
      </c>
      <c r="I674">
        <v>10366</v>
      </c>
      <c r="J674" s="2" t="s">
        <v>42</v>
      </c>
      <c r="K674" s="1" t="str">
        <f t="shared" si="30"/>
        <v>Clean</v>
      </c>
      <c r="L674" s="1" t="b">
        <v>1</v>
      </c>
      <c r="M674" s="1" t="str">
        <f t="shared" si="31"/>
        <v>Valid</v>
      </c>
      <c r="N674">
        <v>60</v>
      </c>
      <c r="O674" s="1" t="str">
        <f t="shared" si="32"/>
        <v>Valid</v>
      </c>
      <c r="P674" t="s">
        <v>14</v>
      </c>
      <c r="Q674" s="1" t="str">
        <v>Car</v>
      </c>
      <c r="R674">
        <v>1</v>
      </c>
      <c r="S674" s="2" t="s">
        <v>34</v>
      </c>
    </row>
    <row r="675" spans="1:19" x14ac:dyDescent="0.35">
      <c r="A675">
        <v>24</v>
      </c>
      <c r="B675" s="2" t="s">
        <v>38</v>
      </c>
      <c r="C675" t="s">
        <v>19</v>
      </c>
      <c r="D675" s="1" t="str">
        <v>Male</v>
      </c>
      <c r="E675">
        <v>2</v>
      </c>
      <c r="F675" t="s">
        <v>21</v>
      </c>
      <c r="G675" t="s">
        <v>25</v>
      </c>
      <c r="H675" t="s">
        <v>10</v>
      </c>
      <c r="I675">
        <v>2080</v>
      </c>
      <c r="J675" s="2" t="s">
        <v>43</v>
      </c>
      <c r="K675" s="1" t="str">
        <f t="shared" si="30"/>
        <v>Clean</v>
      </c>
      <c r="L675" s="1" t="b">
        <v>1</v>
      </c>
      <c r="M675" s="1" t="str">
        <f t="shared" si="31"/>
        <v>Valid</v>
      </c>
      <c r="N675">
        <v>6</v>
      </c>
      <c r="O675" s="1" t="str">
        <f t="shared" si="32"/>
        <v>Valid</v>
      </c>
      <c r="P675" t="s">
        <v>14</v>
      </c>
      <c r="Q675" s="1" t="str">
        <v>Car</v>
      </c>
      <c r="R675">
        <v>1</v>
      </c>
      <c r="S675" s="2" t="s">
        <v>34</v>
      </c>
    </row>
    <row r="676" spans="1:19" x14ac:dyDescent="0.35">
      <c r="A676">
        <v>41</v>
      </c>
      <c r="B676" s="2" t="s">
        <v>39</v>
      </c>
      <c r="C676" t="s">
        <v>19</v>
      </c>
      <c r="D676" s="1" t="str">
        <v>Male</v>
      </c>
      <c r="E676">
        <v>1</v>
      </c>
      <c r="F676" t="s">
        <v>21</v>
      </c>
      <c r="G676" t="s">
        <v>25</v>
      </c>
      <c r="H676" t="s">
        <v>10</v>
      </c>
      <c r="I676">
        <v>2580</v>
      </c>
      <c r="J676" s="2" t="s">
        <v>43</v>
      </c>
      <c r="K676" s="1" t="str">
        <f t="shared" si="30"/>
        <v>Clean</v>
      </c>
      <c r="L676" s="1" t="b">
        <v>1</v>
      </c>
      <c r="M676" s="1" t="str">
        <f t="shared" si="31"/>
        <v>Valid</v>
      </c>
      <c r="N676">
        <v>21</v>
      </c>
      <c r="O676" s="1" t="str">
        <f t="shared" si="32"/>
        <v>Valid</v>
      </c>
      <c r="P676" t="s">
        <v>15</v>
      </c>
      <c r="Q676" s="1" t="str">
        <v>Business</v>
      </c>
      <c r="R676">
        <v>2</v>
      </c>
      <c r="S676" s="2" t="s">
        <v>35</v>
      </c>
    </row>
    <row r="677" spans="1:19" x14ac:dyDescent="0.35">
      <c r="A677">
        <v>26</v>
      </c>
      <c r="B677" s="2" t="s">
        <v>38</v>
      </c>
      <c r="C677" t="s">
        <v>20</v>
      </c>
      <c r="D677" s="1" t="str">
        <v>Female</v>
      </c>
      <c r="E677">
        <v>3</v>
      </c>
      <c r="F677" t="s">
        <v>23</v>
      </c>
      <c r="G677" t="s">
        <v>24</v>
      </c>
      <c r="H677" t="s">
        <v>10</v>
      </c>
      <c r="I677">
        <v>4530</v>
      </c>
      <c r="J677" s="2" t="s">
        <v>43</v>
      </c>
      <c r="K677" s="1" t="str">
        <f t="shared" si="30"/>
        <v>Clean</v>
      </c>
      <c r="L677" s="1" t="b">
        <v>1</v>
      </c>
      <c r="M677" s="1" t="str">
        <f t="shared" si="31"/>
        <v>Valid</v>
      </c>
      <c r="N677">
        <v>30</v>
      </c>
      <c r="O677" s="1" t="str">
        <f t="shared" si="32"/>
        <v>Valid</v>
      </c>
      <c r="P677" t="s">
        <v>11</v>
      </c>
      <c r="Q677" s="1" t="str">
        <v>Radio/Tv</v>
      </c>
      <c r="R677">
        <v>1</v>
      </c>
      <c r="S677" s="2" t="s">
        <v>34</v>
      </c>
    </row>
    <row r="678" spans="1:19" x14ac:dyDescent="0.35">
      <c r="A678">
        <v>33</v>
      </c>
      <c r="B678" s="2" t="s">
        <v>39</v>
      </c>
      <c r="C678" t="s">
        <v>19</v>
      </c>
      <c r="D678" s="1" t="str">
        <v>Male</v>
      </c>
      <c r="E678">
        <v>2</v>
      </c>
      <c r="F678" t="s">
        <v>21</v>
      </c>
      <c r="G678" t="s">
        <v>24</v>
      </c>
      <c r="H678" t="s">
        <v>10</v>
      </c>
      <c r="I678">
        <v>5150</v>
      </c>
      <c r="J678" s="2" t="s">
        <v>42</v>
      </c>
      <c r="K678" s="1" t="str">
        <f t="shared" si="30"/>
        <v>Clean</v>
      </c>
      <c r="L678" s="1" t="b">
        <v>1</v>
      </c>
      <c r="M678" s="1" t="str">
        <f t="shared" si="31"/>
        <v>Valid</v>
      </c>
      <c r="N678">
        <v>24</v>
      </c>
      <c r="O678" s="1" t="str">
        <f t="shared" si="32"/>
        <v>Valid</v>
      </c>
      <c r="P678" t="s">
        <v>13</v>
      </c>
      <c r="Q678" s="1" t="str">
        <v>Furniture/Equipment</v>
      </c>
      <c r="R678">
        <v>1</v>
      </c>
      <c r="S678" s="2" t="s">
        <v>34</v>
      </c>
    </row>
    <row r="679" spans="1:19" x14ac:dyDescent="0.35">
      <c r="A679">
        <v>24</v>
      </c>
      <c r="B679" s="2" t="s">
        <v>38</v>
      </c>
      <c r="C679" t="s">
        <v>19</v>
      </c>
      <c r="D679" s="1" t="str">
        <v>Male</v>
      </c>
      <c r="E679">
        <v>2</v>
      </c>
      <c r="F679" t="s">
        <v>21</v>
      </c>
      <c r="G679" t="s">
        <v>27</v>
      </c>
      <c r="H679" t="s">
        <v>27</v>
      </c>
      <c r="I679">
        <v>5595</v>
      </c>
      <c r="J679" s="2" t="s">
        <v>42</v>
      </c>
      <c r="K679" s="1" t="str">
        <f t="shared" si="30"/>
        <v>Clean</v>
      </c>
      <c r="L679" s="1" t="b">
        <v>1</v>
      </c>
      <c r="M679" s="1" t="str">
        <f t="shared" si="31"/>
        <v>Valid</v>
      </c>
      <c r="N679">
        <v>72</v>
      </c>
      <c r="O679" s="1" t="str">
        <f t="shared" si="32"/>
        <v>Valid</v>
      </c>
      <c r="P679" t="s">
        <v>11</v>
      </c>
      <c r="Q679" s="1" t="str">
        <v>Radio/Tv</v>
      </c>
      <c r="R679">
        <v>2</v>
      </c>
      <c r="S679" s="2" t="s">
        <v>35</v>
      </c>
    </row>
    <row r="680" spans="1:19" x14ac:dyDescent="0.35">
      <c r="A680">
        <v>64</v>
      </c>
      <c r="B680" s="2" t="s">
        <v>37</v>
      </c>
      <c r="C680" t="s">
        <v>19</v>
      </c>
      <c r="D680" s="1" t="str">
        <v>Male</v>
      </c>
      <c r="E680">
        <v>1</v>
      </c>
      <c r="F680" t="s">
        <v>23</v>
      </c>
      <c r="G680" t="s">
        <v>24</v>
      </c>
      <c r="H680" t="s">
        <v>24</v>
      </c>
      <c r="I680">
        <v>2384</v>
      </c>
      <c r="J680" s="2" t="s">
        <v>43</v>
      </c>
      <c r="K680" s="1" t="str">
        <f t="shared" si="30"/>
        <v>Clean</v>
      </c>
      <c r="L680" s="1" t="b">
        <v>1</v>
      </c>
      <c r="M680" s="1" t="str">
        <f t="shared" si="31"/>
        <v>Valid</v>
      </c>
      <c r="N680">
        <v>24</v>
      </c>
      <c r="O680" s="1" t="str">
        <f t="shared" si="32"/>
        <v>Valid</v>
      </c>
      <c r="P680" t="s">
        <v>11</v>
      </c>
      <c r="Q680" s="1" t="str">
        <v>Radio/Tv</v>
      </c>
      <c r="R680">
        <v>1</v>
      </c>
      <c r="S680" s="2" t="s">
        <v>34</v>
      </c>
    </row>
    <row r="681" spans="1:19" x14ac:dyDescent="0.35">
      <c r="A681">
        <v>26</v>
      </c>
      <c r="B681" s="2" t="s">
        <v>38</v>
      </c>
      <c r="C681" t="s">
        <v>20</v>
      </c>
      <c r="D681" s="1" t="str">
        <v>Female</v>
      </c>
      <c r="E681">
        <v>2</v>
      </c>
      <c r="F681" t="s">
        <v>21</v>
      </c>
      <c r="G681" t="s">
        <v>24</v>
      </c>
      <c r="H681" t="s">
        <v>10</v>
      </c>
      <c r="I681">
        <v>1453</v>
      </c>
      <c r="J681" s="2" t="s">
        <v>41</v>
      </c>
      <c r="K681" s="1" t="str">
        <f t="shared" si="30"/>
        <v>Has Spaces</v>
      </c>
      <c r="L681" s="1" t="b">
        <v>1</v>
      </c>
      <c r="M681" s="1" t="str">
        <f t="shared" si="31"/>
        <v>Valid</v>
      </c>
      <c r="N681">
        <v>18</v>
      </c>
      <c r="O681" s="1" t="str">
        <f t="shared" si="32"/>
        <v>Valid</v>
      </c>
      <c r="P681" t="s">
        <v>11</v>
      </c>
      <c r="Q681" s="1" t="str">
        <v>Radio/Tv</v>
      </c>
      <c r="R681">
        <v>1</v>
      </c>
      <c r="S681" s="2" t="s">
        <v>34</v>
      </c>
    </row>
    <row r="682" spans="1:19" x14ac:dyDescent="0.35">
      <c r="A682">
        <v>56</v>
      </c>
      <c r="B682" s="2" t="s">
        <v>37</v>
      </c>
      <c r="C682" t="s">
        <v>20</v>
      </c>
      <c r="D682" s="1" t="str">
        <v>Female</v>
      </c>
      <c r="E682">
        <v>2</v>
      </c>
      <c r="F682" t="s">
        <v>21</v>
      </c>
      <c r="G682" t="s">
        <v>24</v>
      </c>
      <c r="H682" t="s">
        <v>10</v>
      </c>
      <c r="I682">
        <v>1538</v>
      </c>
      <c r="J682" s="2" t="s">
        <v>41</v>
      </c>
      <c r="K682" s="1" t="str">
        <f t="shared" si="30"/>
        <v>Has Spaces</v>
      </c>
      <c r="L682" s="1" t="b">
        <v>1</v>
      </c>
      <c r="M682" s="1" t="str">
        <f t="shared" si="31"/>
        <v>Valid</v>
      </c>
      <c r="N682">
        <v>6</v>
      </c>
      <c r="O682" s="1" t="str">
        <f t="shared" si="32"/>
        <v>Valid</v>
      </c>
      <c r="P682" t="s">
        <v>12</v>
      </c>
      <c r="Q682" s="1" t="str">
        <v>Education</v>
      </c>
      <c r="R682">
        <v>1</v>
      </c>
      <c r="S682" s="2" t="s">
        <v>34</v>
      </c>
    </row>
    <row r="683" spans="1:19" x14ac:dyDescent="0.35">
      <c r="A683">
        <v>37</v>
      </c>
      <c r="B683" s="2" t="s">
        <v>39</v>
      </c>
      <c r="C683" t="s">
        <v>19</v>
      </c>
      <c r="D683" s="1" t="str">
        <v>Male</v>
      </c>
      <c r="E683">
        <v>2</v>
      </c>
      <c r="F683" t="s">
        <v>22</v>
      </c>
      <c r="G683" t="s">
        <v>10</v>
      </c>
      <c r="H683" t="s">
        <v>10</v>
      </c>
      <c r="I683">
        <v>2279</v>
      </c>
      <c r="J683" s="2" t="s">
        <v>43</v>
      </c>
      <c r="K683" s="1" t="str">
        <f t="shared" si="30"/>
        <v>Clean</v>
      </c>
      <c r="L683" s="1" t="b">
        <v>1</v>
      </c>
      <c r="M683" s="1" t="str">
        <f t="shared" si="31"/>
        <v>Valid</v>
      </c>
      <c r="N683">
        <v>12</v>
      </c>
      <c r="O683" s="1" t="str">
        <f t="shared" si="32"/>
        <v>Valid</v>
      </c>
      <c r="P683" t="s">
        <v>11</v>
      </c>
      <c r="Q683" s="1" t="str">
        <v>Radio/Tv</v>
      </c>
      <c r="R683">
        <v>1</v>
      </c>
      <c r="S683" s="2" t="s">
        <v>34</v>
      </c>
    </row>
    <row r="684" spans="1:19" x14ac:dyDescent="0.35">
      <c r="A684">
        <v>33</v>
      </c>
      <c r="B684" s="2" t="s">
        <v>39</v>
      </c>
      <c r="C684" t="s">
        <v>19</v>
      </c>
      <c r="D684" s="1" t="str">
        <v>Male</v>
      </c>
      <c r="E684">
        <v>2</v>
      </c>
      <c r="F684" t="s">
        <v>21</v>
      </c>
      <c r="G684" t="s">
        <v>24</v>
      </c>
      <c r="H684" t="s">
        <v>10</v>
      </c>
      <c r="I684">
        <v>1478</v>
      </c>
      <c r="J684" s="2" t="s">
        <v>41</v>
      </c>
      <c r="K684" s="1" t="str">
        <f t="shared" si="30"/>
        <v>Has Spaces</v>
      </c>
      <c r="L684" s="1" t="b">
        <v>1</v>
      </c>
      <c r="M684" s="1" t="str">
        <f t="shared" si="31"/>
        <v>Valid</v>
      </c>
      <c r="N684">
        <v>15</v>
      </c>
      <c r="O684" s="1" t="str">
        <f t="shared" si="32"/>
        <v>Valid</v>
      </c>
      <c r="P684" t="s">
        <v>11</v>
      </c>
      <c r="Q684" s="1" t="str">
        <v>Radio/Tv</v>
      </c>
      <c r="R684">
        <v>1</v>
      </c>
      <c r="S684" s="2" t="s">
        <v>34</v>
      </c>
    </row>
    <row r="685" spans="1:19" x14ac:dyDescent="0.35">
      <c r="A685">
        <v>47</v>
      </c>
      <c r="B685" s="2" t="s">
        <v>39</v>
      </c>
      <c r="C685" t="s">
        <v>19</v>
      </c>
      <c r="D685" s="1" t="str">
        <v>Male</v>
      </c>
      <c r="E685">
        <v>2</v>
      </c>
      <c r="F685" t="s">
        <v>22</v>
      </c>
      <c r="G685" t="s">
        <v>24</v>
      </c>
      <c r="H685" t="s">
        <v>10</v>
      </c>
      <c r="I685">
        <v>5103</v>
      </c>
      <c r="J685" s="2" t="s">
        <v>42</v>
      </c>
      <c r="K685" s="1" t="str">
        <f t="shared" si="30"/>
        <v>Clean</v>
      </c>
      <c r="L685" s="1" t="b">
        <v>1</v>
      </c>
      <c r="M685" s="1" t="str">
        <f t="shared" si="31"/>
        <v>Valid</v>
      </c>
      <c r="N685">
        <v>24</v>
      </c>
      <c r="O685" s="1" t="str">
        <f t="shared" si="32"/>
        <v>Valid</v>
      </c>
      <c r="P685" t="s">
        <v>11</v>
      </c>
      <c r="Q685" s="1" t="str">
        <v>Radio/Tv</v>
      </c>
      <c r="R685">
        <v>1</v>
      </c>
      <c r="S685" s="2" t="s">
        <v>34</v>
      </c>
    </row>
    <row r="686" spans="1:19" x14ac:dyDescent="0.35">
      <c r="A686">
        <v>31</v>
      </c>
      <c r="B686" s="2" t="s">
        <v>39</v>
      </c>
      <c r="C686" t="s">
        <v>19</v>
      </c>
      <c r="D686" s="1" t="str">
        <v>Male</v>
      </c>
      <c r="E686">
        <v>1</v>
      </c>
      <c r="F686" t="s">
        <v>21</v>
      </c>
      <c r="G686" t="s">
        <v>27</v>
      </c>
      <c r="H686" t="s">
        <v>27</v>
      </c>
      <c r="I686">
        <v>9857</v>
      </c>
      <c r="J686" s="2" t="s">
        <v>42</v>
      </c>
      <c r="K686" s="1" t="str">
        <f t="shared" si="30"/>
        <v>Clean</v>
      </c>
      <c r="L686" s="1" t="b">
        <v>1</v>
      </c>
      <c r="M686" s="1" t="str">
        <f t="shared" si="31"/>
        <v>Valid</v>
      </c>
      <c r="N686">
        <v>36</v>
      </c>
      <c r="O686" s="1" t="str">
        <f t="shared" si="32"/>
        <v>Valid</v>
      </c>
      <c r="P686" t="s">
        <v>15</v>
      </c>
      <c r="Q686" s="1" t="str">
        <v>Business</v>
      </c>
      <c r="R686">
        <v>1</v>
      </c>
      <c r="S686" s="2" t="s">
        <v>34</v>
      </c>
    </row>
    <row r="687" spans="1:19" x14ac:dyDescent="0.35">
      <c r="A687">
        <v>34</v>
      </c>
      <c r="B687" s="2" t="s">
        <v>39</v>
      </c>
      <c r="C687" t="s">
        <v>19</v>
      </c>
      <c r="D687" s="1" t="str">
        <v>Male</v>
      </c>
      <c r="E687">
        <v>2</v>
      </c>
      <c r="F687" t="s">
        <v>22</v>
      </c>
      <c r="G687" t="s">
        <v>10</v>
      </c>
      <c r="H687" t="s">
        <v>10</v>
      </c>
      <c r="I687">
        <v>6527</v>
      </c>
      <c r="J687" s="2" t="s">
        <v>42</v>
      </c>
      <c r="K687" s="1" t="str">
        <f t="shared" si="30"/>
        <v>Clean</v>
      </c>
      <c r="L687" s="1" t="b">
        <v>1</v>
      </c>
      <c r="M687" s="1" t="str">
        <f t="shared" si="31"/>
        <v>Valid</v>
      </c>
      <c r="N687">
        <v>60</v>
      </c>
      <c r="O687" s="1" t="str">
        <f t="shared" si="32"/>
        <v>Valid</v>
      </c>
      <c r="P687" t="s">
        <v>14</v>
      </c>
      <c r="Q687" s="1" t="str">
        <v>Car</v>
      </c>
      <c r="R687">
        <v>1</v>
      </c>
      <c r="S687" s="2" t="s">
        <v>34</v>
      </c>
    </row>
    <row r="688" spans="1:19" x14ac:dyDescent="0.35">
      <c r="A688">
        <v>27</v>
      </c>
      <c r="B688" s="2" t="s">
        <v>38</v>
      </c>
      <c r="C688" t="s">
        <v>19</v>
      </c>
      <c r="D688" s="1" t="str">
        <v>Male</v>
      </c>
      <c r="E688">
        <v>2</v>
      </c>
      <c r="F688" t="s">
        <v>21</v>
      </c>
      <c r="G688" t="s">
        <v>10</v>
      </c>
      <c r="H688" t="s">
        <v>26</v>
      </c>
      <c r="I688">
        <v>1347</v>
      </c>
      <c r="J688" s="2" t="s">
        <v>41</v>
      </c>
      <c r="K688" s="1" t="str">
        <f t="shared" si="30"/>
        <v>Has Spaces</v>
      </c>
      <c r="L688" s="1" t="b">
        <v>1</v>
      </c>
      <c r="M688" s="1" t="str">
        <f t="shared" si="31"/>
        <v>Valid</v>
      </c>
      <c r="N688">
        <v>10</v>
      </c>
      <c r="O688" s="1" t="str">
        <f t="shared" si="32"/>
        <v>Valid</v>
      </c>
      <c r="P688" t="s">
        <v>11</v>
      </c>
      <c r="Q688" s="1" t="str">
        <v>Radio/Tv</v>
      </c>
      <c r="R688">
        <v>1</v>
      </c>
      <c r="S688" s="2" t="s">
        <v>34</v>
      </c>
    </row>
    <row r="689" spans="1:19" x14ac:dyDescent="0.35">
      <c r="A689">
        <v>30</v>
      </c>
      <c r="B689" s="2" t="s">
        <v>39</v>
      </c>
      <c r="C689" t="s">
        <v>19</v>
      </c>
      <c r="D689" s="1" t="str">
        <v>Male</v>
      </c>
      <c r="E689">
        <v>2</v>
      </c>
      <c r="F689" t="s">
        <v>22</v>
      </c>
      <c r="G689" t="s">
        <v>27</v>
      </c>
      <c r="H689" t="s">
        <v>27</v>
      </c>
      <c r="I689">
        <v>2862</v>
      </c>
      <c r="J689" s="2" t="s">
        <v>43</v>
      </c>
      <c r="K689" s="1" t="str">
        <f t="shared" si="30"/>
        <v>Clean</v>
      </c>
      <c r="L689" s="1" t="b">
        <v>1</v>
      </c>
      <c r="M689" s="1" t="str">
        <f t="shared" si="31"/>
        <v>Valid</v>
      </c>
      <c r="N689">
        <v>36</v>
      </c>
      <c r="O689" s="1" t="str">
        <f t="shared" si="32"/>
        <v>Valid</v>
      </c>
      <c r="P689" t="s">
        <v>14</v>
      </c>
      <c r="Q689" s="1" t="str">
        <v>Car</v>
      </c>
      <c r="R689">
        <v>1</v>
      </c>
      <c r="S689" s="2" t="s">
        <v>34</v>
      </c>
    </row>
    <row r="690" spans="1:19" x14ac:dyDescent="0.35">
      <c r="A690">
        <v>35</v>
      </c>
      <c r="B690" s="2" t="s">
        <v>39</v>
      </c>
      <c r="C690" t="s">
        <v>19</v>
      </c>
      <c r="D690" s="1" t="str">
        <v>Male</v>
      </c>
      <c r="E690">
        <v>2</v>
      </c>
      <c r="F690" t="s">
        <v>21</v>
      </c>
      <c r="G690" t="s">
        <v>27</v>
      </c>
      <c r="H690" t="s">
        <v>10</v>
      </c>
      <c r="I690">
        <v>2753</v>
      </c>
      <c r="J690" s="2" t="s">
        <v>43</v>
      </c>
      <c r="K690" s="1" t="str">
        <f t="shared" si="30"/>
        <v>Clean</v>
      </c>
      <c r="L690" s="1" t="b">
        <v>1</v>
      </c>
      <c r="M690" s="1" t="str">
        <f t="shared" si="31"/>
        <v>Valid</v>
      </c>
      <c r="N690">
        <v>9</v>
      </c>
      <c r="O690" s="1" t="str">
        <f t="shared" si="32"/>
        <v>Valid</v>
      </c>
      <c r="P690" t="s">
        <v>11</v>
      </c>
      <c r="Q690" s="1" t="str">
        <v>Radio/Tv</v>
      </c>
      <c r="R690">
        <v>1</v>
      </c>
      <c r="S690" s="2" t="s">
        <v>34</v>
      </c>
    </row>
    <row r="691" spans="1:19" x14ac:dyDescent="0.35">
      <c r="A691">
        <v>31</v>
      </c>
      <c r="B691" s="2" t="s">
        <v>39</v>
      </c>
      <c r="C691" t="s">
        <v>19</v>
      </c>
      <c r="D691" s="1" t="str">
        <v>Male</v>
      </c>
      <c r="E691">
        <v>2</v>
      </c>
      <c r="F691" t="s">
        <v>21</v>
      </c>
      <c r="G691" t="s">
        <v>26</v>
      </c>
      <c r="H691" t="s">
        <v>24</v>
      </c>
      <c r="I691">
        <v>3651</v>
      </c>
      <c r="J691" s="2" t="s">
        <v>43</v>
      </c>
      <c r="K691" s="1" t="str">
        <f t="shared" si="30"/>
        <v>Clean</v>
      </c>
      <c r="L691" s="1" t="b">
        <v>1</v>
      </c>
      <c r="M691" s="1" t="str">
        <f t="shared" si="31"/>
        <v>Valid</v>
      </c>
      <c r="N691">
        <v>12</v>
      </c>
      <c r="O691" s="1" t="str">
        <f t="shared" si="32"/>
        <v>Valid</v>
      </c>
      <c r="P691" t="s">
        <v>14</v>
      </c>
      <c r="Q691" s="1" t="str">
        <v>Car</v>
      </c>
      <c r="R691">
        <v>1</v>
      </c>
      <c r="S691" s="2" t="s">
        <v>34</v>
      </c>
    </row>
    <row r="692" spans="1:19" x14ac:dyDescent="0.35">
      <c r="A692">
        <v>25</v>
      </c>
      <c r="B692" s="2" t="s">
        <v>38</v>
      </c>
      <c r="C692" t="s">
        <v>19</v>
      </c>
      <c r="D692" s="1" t="str">
        <v>Male</v>
      </c>
      <c r="E692">
        <v>2</v>
      </c>
      <c r="F692" t="s">
        <v>21</v>
      </c>
      <c r="G692" t="s">
        <v>24</v>
      </c>
      <c r="H692" t="s">
        <v>24</v>
      </c>
      <c r="I692">
        <v>975</v>
      </c>
      <c r="J692" s="2" t="s">
        <v>41</v>
      </c>
      <c r="K692" s="1" t="str">
        <f t="shared" si="30"/>
        <v>Has Spaces</v>
      </c>
      <c r="L692" s="1" t="b">
        <v>1</v>
      </c>
      <c r="M692" s="1" t="str">
        <f t="shared" si="31"/>
        <v>Valid</v>
      </c>
      <c r="N692">
        <v>15</v>
      </c>
      <c r="O692" s="1" t="str">
        <f t="shared" si="32"/>
        <v>Valid</v>
      </c>
      <c r="P692" t="s">
        <v>13</v>
      </c>
      <c r="Q692" s="1" t="str">
        <v>Furniture/Equipment</v>
      </c>
      <c r="R692">
        <v>1</v>
      </c>
      <c r="S692" s="2" t="s">
        <v>34</v>
      </c>
    </row>
    <row r="693" spans="1:19" x14ac:dyDescent="0.35">
      <c r="A693">
        <v>25</v>
      </c>
      <c r="B693" s="2" t="s">
        <v>38</v>
      </c>
      <c r="C693" t="s">
        <v>20</v>
      </c>
      <c r="D693" s="1" t="str">
        <v>Female</v>
      </c>
      <c r="E693">
        <v>1</v>
      </c>
      <c r="F693" t="s">
        <v>21</v>
      </c>
      <c r="G693" t="s">
        <v>27</v>
      </c>
      <c r="H693" t="s">
        <v>27</v>
      </c>
      <c r="I693">
        <v>2631</v>
      </c>
      <c r="J693" s="2" t="s">
        <v>43</v>
      </c>
      <c r="K693" s="1" t="str">
        <f t="shared" si="30"/>
        <v>Clean</v>
      </c>
      <c r="L693" s="1" t="b">
        <v>1</v>
      </c>
      <c r="M693" s="1" t="str">
        <f t="shared" si="31"/>
        <v>Valid</v>
      </c>
      <c r="N693">
        <v>15</v>
      </c>
      <c r="O693" s="1" t="str">
        <f t="shared" si="32"/>
        <v>Valid</v>
      </c>
      <c r="P693" t="s">
        <v>17</v>
      </c>
      <c r="Q693" s="1" t="str">
        <v>Repairs</v>
      </c>
      <c r="R693">
        <v>1</v>
      </c>
      <c r="S693" s="2" t="s">
        <v>34</v>
      </c>
    </row>
    <row r="694" spans="1:19" x14ac:dyDescent="0.35">
      <c r="A694">
        <v>29</v>
      </c>
      <c r="B694" s="2" t="s">
        <v>38</v>
      </c>
      <c r="C694" t="s">
        <v>19</v>
      </c>
      <c r="D694" s="1" t="str">
        <v>Male</v>
      </c>
      <c r="E694">
        <v>2</v>
      </c>
      <c r="F694" t="s">
        <v>21</v>
      </c>
      <c r="G694" t="s">
        <v>27</v>
      </c>
      <c r="H694" t="s">
        <v>27</v>
      </c>
      <c r="I694">
        <v>2896</v>
      </c>
      <c r="J694" s="2" t="s">
        <v>43</v>
      </c>
      <c r="K694" s="1" t="str">
        <f t="shared" si="30"/>
        <v>Clean</v>
      </c>
      <c r="L694" s="1" t="b">
        <v>1</v>
      </c>
      <c r="M694" s="1" t="str">
        <f t="shared" si="31"/>
        <v>Valid</v>
      </c>
      <c r="N694">
        <v>24</v>
      </c>
      <c r="O694" s="1" t="str">
        <f t="shared" si="32"/>
        <v>Valid</v>
      </c>
      <c r="P694" t="s">
        <v>11</v>
      </c>
      <c r="Q694" s="1" t="str">
        <v>Radio/Tv</v>
      </c>
      <c r="R694">
        <v>1</v>
      </c>
      <c r="S694" s="2" t="s">
        <v>34</v>
      </c>
    </row>
    <row r="695" spans="1:19" x14ac:dyDescent="0.35">
      <c r="A695">
        <v>44</v>
      </c>
      <c r="B695" s="2" t="s">
        <v>39</v>
      </c>
      <c r="C695" t="s">
        <v>19</v>
      </c>
      <c r="D695" s="1" t="str">
        <v>Male</v>
      </c>
      <c r="E695">
        <v>1</v>
      </c>
      <c r="F695" t="s">
        <v>21</v>
      </c>
      <c r="G695" t="s">
        <v>10</v>
      </c>
      <c r="H695" t="s">
        <v>24</v>
      </c>
      <c r="I695">
        <v>4716</v>
      </c>
      <c r="J695" s="2" t="s">
        <v>43</v>
      </c>
      <c r="K695" s="1" t="str">
        <f t="shared" si="30"/>
        <v>Clean</v>
      </c>
      <c r="L695" s="1" t="b">
        <v>1</v>
      </c>
      <c r="M695" s="1" t="str">
        <f t="shared" si="31"/>
        <v>Valid</v>
      </c>
      <c r="N695">
        <v>6</v>
      </c>
      <c r="O695" s="1" t="str">
        <f t="shared" si="32"/>
        <v>Valid</v>
      </c>
      <c r="P695" t="s">
        <v>14</v>
      </c>
      <c r="Q695" s="1" t="str">
        <v>Car</v>
      </c>
      <c r="R695">
        <v>1</v>
      </c>
      <c r="S695" s="2" t="s">
        <v>34</v>
      </c>
    </row>
    <row r="696" spans="1:19" x14ac:dyDescent="0.35">
      <c r="A696">
        <v>28</v>
      </c>
      <c r="B696" s="2" t="s">
        <v>38</v>
      </c>
      <c r="C696" t="s">
        <v>19</v>
      </c>
      <c r="D696" s="1" t="str">
        <v>Male</v>
      </c>
      <c r="E696">
        <v>2</v>
      </c>
      <c r="F696" t="s">
        <v>21</v>
      </c>
      <c r="G696" t="s">
        <v>24</v>
      </c>
      <c r="H696" t="s">
        <v>10</v>
      </c>
      <c r="I696">
        <v>2284</v>
      </c>
      <c r="J696" s="2" t="s">
        <v>43</v>
      </c>
      <c r="K696" s="1" t="str">
        <f t="shared" si="30"/>
        <v>Clean</v>
      </c>
      <c r="L696" s="1" t="b">
        <v>1</v>
      </c>
      <c r="M696" s="1" t="str">
        <f t="shared" si="31"/>
        <v>Valid</v>
      </c>
      <c r="N696">
        <v>24</v>
      </c>
      <c r="O696" s="1" t="str">
        <f t="shared" si="32"/>
        <v>Valid</v>
      </c>
      <c r="P696" t="s">
        <v>11</v>
      </c>
      <c r="Q696" s="1" t="str">
        <v>Radio/Tv</v>
      </c>
      <c r="R696">
        <v>1</v>
      </c>
      <c r="S696" s="2" t="s">
        <v>34</v>
      </c>
    </row>
    <row r="697" spans="1:19" x14ac:dyDescent="0.35">
      <c r="A697">
        <v>50</v>
      </c>
      <c r="B697" s="2" t="s">
        <v>37</v>
      </c>
      <c r="C697" t="s">
        <v>19</v>
      </c>
      <c r="D697" s="1" t="str">
        <v>Male</v>
      </c>
      <c r="E697">
        <v>2</v>
      </c>
      <c r="F697" t="s">
        <v>23</v>
      </c>
      <c r="G697" t="s">
        <v>25</v>
      </c>
      <c r="H697" t="s">
        <v>10</v>
      </c>
      <c r="I697">
        <v>1236</v>
      </c>
      <c r="J697" s="2" t="s">
        <v>41</v>
      </c>
      <c r="K697" s="1" t="str">
        <f t="shared" si="30"/>
        <v>Has Spaces</v>
      </c>
      <c r="L697" s="1" t="b">
        <v>1</v>
      </c>
      <c r="M697" s="1" t="str">
        <f t="shared" si="31"/>
        <v>Valid</v>
      </c>
      <c r="N697">
        <v>6</v>
      </c>
      <c r="O697" s="1" t="str">
        <f t="shared" si="32"/>
        <v>Valid</v>
      </c>
      <c r="P697" t="s">
        <v>14</v>
      </c>
      <c r="Q697" s="1" t="str">
        <v>Car</v>
      </c>
      <c r="R697">
        <v>1</v>
      </c>
      <c r="S697" s="2" t="s">
        <v>34</v>
      </c>
    </row>
    <row r="698" spans="1:19" x14ac:dyDescent="0.35">
      <c r="A698">
        <v>29</v>
      </c>
      <c r="B698" s="2" t="s">
        <v>38</v>
      </c>
      <c r="C698" t="s">
        <v>19</v>
      </c>
      <c r="D698" s="1" t="str">
        <v>Male</v>
      </c>
      <c r="E698">
        <v>2</v>
      </c>
      <c r="F698" t="s">
        <v>21</v>
      </c>
      <c r="G698" t="s">
        <v>24</v>
      </c>
      <c r="H698" t="s">
        <v>27</v>
      </c>
      <c r="I698">
        <v>1103</v>
      </c>
      <c r="J698" s="2" t="s">
        <v>41</v>
      </c>
      <c r="K698" s="1" t="str">
        <f t="shared" si="30"/>
        <v>Has Spaces</v>
      </c>
      <c r="L698" s="1" t="b">
        <v>1</v>
      </c>
      <c r="M698" s="1" t="str">
        <f t="shared" si="31"/>
        <v>Valid</v>
      </c>
      <c r="N698">
        <v>12</v>
      </c>
      <c r="O698" s="1" t="str">
        <f t="shared" si="32"/>
        <v>Valid</v>
      </c>
      <c r="P698" t="s">
        <v>11</v>
      </c>
      <c r="Q698" s="1" t="str">
        <v>Radio/Tv</v>
      </c>
      <c r="R698">
        <v>1</v>
      </c>
      <c r="S698" s="2" t="s">
        <v>34</v>
      </c>
    </row>
    <row r="699" spans="1:19" x14ac:dyDescent="0.35">
      <c r="A699">
        <v>38</v>
      </c>
      <c r="B699" s="2" t="s">
        <v>39</v>
      </c>
      <c r="C699" t="s">
        <v>20</v>
      </c>
      <c r="D699" s="1" t="str">
        <v>Female</v>
      </c>
      <c r="E699">
        <v>0</v>
      </c>
      <c r="F699" t="s">
        <v>21</v>
      </c>
      <c r="G699" t="s">
        <v>24</v>
      </c>
      <c r="H699" t="s">
        <v>10</v>
      </c>
      <c r="I699">
        <v>926</v>
      </c>
      <c r="J699" s="2" t="s">
        <v>41</v>
      </c>
      <c r="K699" s="1" t="str">
        <f t="shared" si="30"/>
        <v>Has Spaces</v>
      </c>
      <c r="L699" s="1" t="b">
        <v>1</v>
      </c>
      <c r="M699" s="1" t="str">
        <f t="shared" si="31"/>
        <v>Valid</v>
      </c>
      <c r="N699">
        <v>12</v>
      </c>
      <c r="O699" s="1" t="str">
        <f t="shared" si="32"/>
        <v>Valid</v>
      </c>
      <c r="P699" t="s">
        <v>14</v>
      </c>
      <c r="Q699" s="1" t="str">
        <v>Car</v>
      </c>
      <c r="R699">
        <v>1</v>
      </c>
      <c r="S699" s="2" t="s">
        <v>34</v>
      </c>
    </row>
    <row r="700" spans="1:19" x14ac:dyDescent="0.35">
      <c r="A700">
        <v>24</v>
      </c>
      <c r="B700" s="2" t="s">
        <v>38</v>
      </c>
      <c r="C700" t="s">
        <v>19</v>
      </c>
      <c r="D700" s="1" t="str">
        <v>Male</v>
      </c>
      <c r="E700">
        <v>2</v>
      </c>
      <c r="F700" t="s">
        <v>21</v>
      </c>
      <c r="G700" t="s">
        <v>24</v>
      </c>
      <c r="H700" t="s">
        <v>10</v>
      </c>
      <c r="I700">
        <v>1800</v>
      </c>
      <c r="J700" s="2" t="s">
        <v>41</v>
      </c>
      <c r="K700" s="1" t="str">
        <f t="shared" si="30"/>
        <v>Has Spaces</v>
      </c>
      <c r="L700" s="1" t="b">
        <v>1</v>
      </c>
      <c r="M700" s="1" t="str">
        <f t="shared" si="31"/>
        <v>Valid</v>
      </c>
      <c r="N700">
        <v>18</v>
      </c>
      <c r="O700" s="1" t="str">
        <f t="shared" si="32"/>
        <v>Valid</v>
      </c>
      <c r="P700" t="s">
        <v>11</v>
      </c>
      <c r="Q700" s="1" t="str">
        <v>Radio/Tv</v>
      </c>
      <c r="R700">
        <v>1</v>
      </c>
      <c r="S700" s="2" t="s">
        <v>34</v>
      </c>
    </row>
    <row r="701" spans="1:19" x14ac:dyDescent="0.35">
      <c r="A701">
        <v>40</v>
      </c>
      <c r="B701" s="2" t="s">
        <v>39</v>
      </c>
      <c r="C701" t="s">
        <v>19</v>
      </c>
      <c r="D701" s="1" t="str">
        <v>Male</v>
      </c>
      <c r="E701">
        <v>3</v>
      </c>
      <c r="F701" t="s">
        <v>23</v>
      </c>
      <c r="G701" t="s">
        <v>24</v>
      </c>
      <c r="H701" t="s">
        <v>26</v>
      </c>
      <c r="I701">
        <v>1905</v>
      </c>
      <c r="J701" s="2" t="s">
        <v>41</v>
      </c>
      <c r="K701" s="1" t="str">
        <f t="shared" si="30"/>
        <v>Has Spaces</v>
      </c>
      <c r="L701" s="1" t="b">
        <v>1</v>
      </c>
      <c r="M701" s="1" t="str">
        <f t="shared" si="31"/>
        <v>Valid</v>
      </c>
      <c r="N701">
        <v>15</v>
      </c>
      <c r="O701" s="1" t="str">
        <f t="shared" si="32"/>
        <v>Valid</v>
      </c>
      <c r="P701" t="s">
        <v>12</v>
      </c>
      <c r="Q701" s="1" t="str">
        <v>Education</v>
      </c>
      <c r="R701">
        <v>1</v>
      </c>
      <c r="S701" s="2" t="s">
        <v>34</v>
      </c>
    </row>
    <row r="702" spans="1:19" x14ac:dyDescent="0.35">
      <c r="A702">
        <v>29</v>
      </c>
      <c r="B702" s="2" t="s">
        <v>38</v>
      </c>
      <c r="C702" t="s">
        <v>20</v>
      </c>
      <c r="D702" s="1" t="str">
        <v>Female</v>
      </c>
      <c r="E702">
        <v>1</v>
      </c>
      <c r="F702" t="s">
        <v>23</v>
      </c>
      <c r="G702" t="s">
        <v>25</v>
      </c>
      <c r="H702" t="s">
        <v>10</v>
      </c>
      <c r="I702">
        <v>1123</v>
      </c>
      <c r="J702" s="2" t="s">
        <v>41</v>
      </c>
      <c r="K702" s="1" t="str">
        <f t="shared" si="30"/>
        <v>Has Spaces</v>
      </c>
      <c r="L702" s="1" t="b">
        <v>1</v>
      </c>
      <c r="M702" s="1" t="str">
        <f t="shared" si="31"/>
        <v>Valid</v>
      </c>
      <c r="N702">
        <v>12</v>
      </c>
      <c r="O702" s="1" t="str">
        <f t="shared" si="32"/>
        <v>Valid</v>
      </c>
      <c r="P702" t="s">
        <v>13</v>
      </c>
      <c r="Q702" s="1" t="str">
        <v>Furniture/Equipment</v>
      </c>
      <c r="R702">
        <v>2</v>
      </c>
      <c r="S702" s="2" t="s">
        <v>35</v>
      </c>
    </row>
    <row r="703" spans="1:19" x14ac:dyDescent="0.35">
      <c r="A703">
        <v>46</v>
      </c>
      <c r="B703" s="2" t="s">
        <v>39</v>
      </c>
      <c r="C703" t="s">
        <v>19</v>
      </c>
      <c r="D703" s="1" t="str">
        <v>Male</v>
      </c>
      <c r="E703">
        <v>2</v>
      </c>
      <c r="F703" t="s">
        <v>22</v>
      </c>
      <c r="G703" t="s">
        <v>24</v>
      </c>
      <c r="H703" t="s">
        <v>24</v>
      </c>
      <c r="I703">
        <v>6331</v>
      </c>
      <c r="J703" s="2" t="s">
        <v>42</v>
      </c>
      <c r="K703" s="1" t="str">
        <f t="shared" si="30"/>
        <v>Clean</v>
      </c>
      <c r="L703" s="1" t="b">
        <v>1</v>
      </c>
      <c r="M703" s="1" t="str">
        <f t="shared" si="31"/>
        <v>Valid</v>
      </c>
      <c r="N703">
        <v>48</v>
      </c>
      <c r="O703" s="1" t="str">
        <f t="shared" si="32"/>
        <v>Valid</v>
      </c>
      <c r="P703" t="s">
        <v>14</v>
      </c>
      <c r="Q703" s="1" t="str">
        <v>Car</v>
      </c>
      <c r="R703">
        <v>2</v>
      </c>
      <c r="S703" s="2" t="s">
        <v>35</v>
      </c>
    </row>
    <row r="704" spans="1:19" x14ac:dyDescent="0.35">
      <c r="A704">
        <v>47</v>
      </c>
      <c r="B704" s="2" t="s">
        <v>39</v>
      </c>
      <c r="C704" t="s">
        <v>20</v>
      </c>
      <c r="D704" s="1" t="str">
        <v>Female</v>
      </c>
      <c r="E704">
        <v>2</v>
      </c>
      <c r="F704" t="s">
        <v>22</v>
      </c>
      <c r="G704" t="s">
        <v>27</v>
      </c>
      <c r="H704" t="s">
        <v>26</v>
      </c>
      <c r="I704">
        <v>1377</v>
      </c>
      <c r="J704" s="2" t="s">
        <v>41</v>
      </c>
      <c r="K704" s="1" t="str">
        <f t="shared" si="30"/>
        <v>Has Spaces</v>
      </c>
      <c r="L704" s="1" t="b">
        <v>1</v>
      </c>
      <c r="M704" s="1" t="str">
        <f t="shared" si="31"/>
        <v>Valid</v>
      </c>
      <c r="N704">
        <v>24</v>
      </c>
      <c r="O704" s="1" t="str">
        <f t="shared" si="32"/>
        <v>Valid</v>
      </c>
      <c r="P704" t="s">
        <v>11</v>
      </c>
      <c r="Q704" s="1" t="str">
        <v>Radio/Tv</v>
      </c>
      <c r="R704">
        <v>1</v>
      </c>
      <c r="S704" s="2" t="s">
        <v>34</v>
      </c>
    </row>
    <row r="705" spans="1:19" x14ac:dyDescent="0.35">
      <c r="A705">
        <v>41</v>
      </c>
      <c r="B705" s="2" t="s">
        <v>39</v>
      </c>
      <c r="C705" t="s">
        <v>19</v>
      </c>
      <c r="D705" s="1" t="str">
        <v>Male</v>
      </c>
      <c r="E705">
        <v>2</v>
      </c>
      <c r="F705" t="s">
        <v>21</v>
      </c>
      <c r="G705" t="s">
        <v>27</v>
      </c>
      <c r="H705" t="s">
        <v>27</v>
      </c>
      <c r="I705">
        <v>2503</v>
      </c>
      <c r="J705" s="2" t="s">
        <v>43</v>
      </c>
      <c r="K705" s="1" t="str">
        <f t="shared" si="30"/>
        <v>Clean</v>
      </c>
      <c r="L705" s="1" t="b">
        <v>1</v>
      </c>
      <c r="M705" s="1" t="str">
        <f t="shared" si="31"/>
        <v>Valid</v>
      </c>
      <c r="N705">
        <v>30</v>
      </c>
      <c r="O705" s="1" t="str">
        <f t="shared" si="32"/>
        <v>Valid</v>
      </c>
      <c r="P705" t="s">
        <v>15</v>
      </c>
      <c r="Q705" s="1" t="str">
        <v>Business</v>
      </c>
      <c r="R705">
        <v>1</v>
      </c>
      <c r="S705" s="2" t="s">
        <v>34</v>
      </c>
    </row>
    <row r="706" spans="1:19" x14ac:dyDescent="0.35">
      <c r="A706">
        <v>32</v>
      </c>
      <c r="B706" s="2" t="s">
        <v>39</v>
      </c>
      <c r="C706" t="s">
        <v>20</v>
      </c>
      <c r="D706" s="1" t="str">
        <v>Female</v>
      </c>
      <c r="E706">
        <v>2</v>
      </c>
      <c r="F706" t="s">
        <v>21</v>
      </c>
      <c r="G706" t="s">
        <v>24</v>
      </c>
      <c r="H706" t="s">
        <v>27</v>
      </c>
      <c r="I706">
        <v>2528</v>
      </c>
      <c r="J706" s="2" t="s">
        <v>43</v>
      </c>
      <c r="K706" s="1" t="str">
        <f t="shared" si="30"/>
        <v>Clean</v>
      </c>
      <c r="L706" s="1" t="b">
        <v>1</v>
      </c>
      <c r="M706" s="1" t="str">
        <f t="shared" si="31"/>
        <v>Valid</v>
      </c>
      <c r="N706">
        <v>27</v>
      </c>
      <c r="O706" s="1" t="str">
        <f t="shared" si="32"/>
        <v>Valid</v>
      </c>
      <c r="P706" t="s">
        <v>15</v>
      </c>
      <c r="Q706" s="1" t="str">
        <v>Business</v>
      </c>
      <c r="R706">
        <v>1</v>
      </c>
      <c r="S706" s="2" t="s">
        <v>34</v>
      </c>
    </row>
    <row r="707" spans="1:19" x14ac:dyDescent="0.35">
      <c r="A707">
        <v>35</v>
      </c>
      <c r="B707" s="2" t="s">
        <v>39</v>
      </c>
      <c r="C707" t="s">
        <v>20</v>
      </c>
      <c r="D707" s="1" t="str">
        <v>Female</v>
      </c>
      <c r="E707">
        <v>2</v>
      </c>
      <c r="F707" t="s">
        <v>22</v>
      </c>
      <c r="G707" t="s">
        <v>25</v>
      </c>
      <c r="H707" t="s">
        <v>10</v>
      </c>
      <c r="I707">
        <v>5324</v>
      </c>
      <c r="J707" s="2" t="s">
        <v>42</v>
      </c>
      <c r="K707" s="1" t="str">
        <f t="shared" ref="K707:K770" si="33">IF(J707=TRIM(J707),"Clean","Has Spaces")</f>
        <v>Clean</v>
      </c>
      <c r="L707" s="1" t="b">
        <v>1</v>
      </c>
      <c r="M707" s="1" t="str">
        <f t="shared" ref="M707:M770" si="34">IF(I707&gt;0,"Valid", "Invalid")</f>
        <v>Valid</v>
      </c>
      <c r="N707">
        <v>15</v>
      </c>
      <c r="O707" s="1" t="str">
        <f t="shared" ref="O707:O770" si="35">IF(N707&lt;=0,"invalid", "Valid")</f>
        <v>Valid</v>
      </c>
      <c r="P707" t="s">
        <v>14</v>
      </c>
      <c r="Q707" s="1" t="str">
        <v>Car</v>
      </c>
      <c r="R707">
        <v>1</v>
      </c>
      <c r="S707" s="2" t="s">
        <v>34</v>
      </c>
    </row>
    <row r="708" spans="1:19" x14ac:dyDescent="0.35">
      <c r="A708">
        <v>24</v>
      </c>
      <c r="B708" s="2" t="s">
        <v>38</v>
      </c>
      <c r="C708" t="s">
        <v>19</v>
      </c>
      <c r="D708" s="1" t="str">
        <v>Male</v>
      </c>
      <c r="E708">
        <v>2</v>
      </c>
      <c r="F708" t="s">
        <v>21</v>
      </c>
      <c r="G708" t="s">
        <v>27</v>
      </c>
      <c r="H708" t="s">
        <v>27</v>
      </c>
      <c r="I708">
        <v>6560</v>
      </c>
      <c r="J708" s="2" t="s">
        <v>42</v>
      </c>
      <c r="K708" s="1" t="str">
        <f t="shared" si="33"/>
        <v>Clean</v>
      </c>
      <c r="L708" s="1" t="b">
        <v>1</v>
      </c>
      <c r="M708" s="1" t="str">
        <f t="shared" si="34"/>
        <v>Valid</v>
      </c>
      <c r="N708">
        <v>48</v>
      </c>
      <c r="O708" s="1" t="str">
        <f t="shared" si="35"/>
        <v>Valid</v>
      </c>
      <c r="P708" t="s">
        <v>14</v>
      </c>
      <c r="Q708" s="1" t="str">
        <v>Car</v>
      </c>
      <c r="R708">
        <v>2</v>
      </c>
      <c r="S708" s="2" t="s">
        <v>35</v>
      </c>
    </row>
    <row r="709" spans="1:19" x14ac:dyDescent="0.35">
      <c r="A709">
        <v>25</v>
      </c>
      <c r="B709" s="2" t="s">
        <v>38</v>
      </c>
      <c r="C709" t="s">
        <v>20</v>
      </c>
      <c r="D709" s="1" t="str">
        <v>Female</v>
      </c>
      <c r="E709">
        <v>2</v>
      </c>
      <c r="F709" t="s">
        <v>23</v>
      </c>
      <c r="G709" t="s">
        <v>24</v>
      </c>
      <c r="H709" t="s">
        <v>27</v>
      </c>
      <c r="I709">
        <v>2969</v>
      </c>
      <c r="J709" s="2" t="s">
        <v>43</v>
      </c>
      <c r="K709" s="1" t="str">
        <f t="shared" si="33"/>
        <v>Clean</v>
      </c>
      <c r="L709" s="1" t="b">
        <v>1</v>
      </c>
      <c r="M709" s="1" t="str">
        <f t="shared" si="34"/>
        <v>Valid</v>
      </c>
      <c r="N709">
        <v>12</v>
      </c>
      <c r="O709" s="1" t="str">
        <f t="shared" si="35"/>
        <v>Valid</v>
      </c>
      <c r="P709" t="s">
        <v>13</v>
      </c>
      <c r="Q709" s="1" t="str">
        <v>Furniture/Equipment</v>
      </c>
      <c r="R709">
        <v>2</v>
      </c>
      <c r="S709" s="2" t="s">
        <v>35</v>
      </c>
    </row>
    <row r="710" spans="1:19" x14ac:dyDescent="0.35">
      <c r="A710">
        <v>25</v>
      </c>
      <c r="B710" s="2" t="s">
        <v>38</v>
      </c>
      <c r="C710" t="s">
        <v>20</v>
      </c>
      <c r="D710" s="1" t="str">
        <v>Female</v>
      </c>
      <c r="E710">
        <v>2</v>
      </c>
      <c r="F710" t="s">
        <v>21</v>
      </c>
      <c r="G710" t="s">
        <v>24</v>
      </c>
      <c r="H710" t="s">
        <v>27</v>
      </c>
      <c r="I710">
        <v>1206</v>
      </c>
      <c r="J710" s="2" t="s">
        <v>41</v>
      </c>
      <c r="K710" s="1" t="str">
        <f t="shared" si="33"/>
        <v>Has Spaces</v>
      </c>
      <c r="L710" s="1" t="b">
        <v>1</v>
      </c>
      <c r="M710" s="1" t="str">
        <f t="shared" si="34"/>
        <v>Valid</v>
      </c>
      <c r="N710">
        <v>9</v>
      </c>
      <c r="O710" s="1" t="str">
        <f t="shared" si="35"/>
        <v>Valid</v>
      </c>
      <c r="P710" t="s">
        <v>11</v>
      </c>
      <c r="Q710" s="1" t="str">
        <v>Radio/Tv</v>
      </c>
      <c r="R710">
        <v>1</v>
      </c>
      <c r="S710" s="2" t="s">
        <v>34</v>
      </c>
    </row>
    <row r="711" spans="1:19" x14ac:dyDescent="0.35">
      <c r="A711">
        <v>37</v>
      </c>
      <c r="B711" s="2" t="s">
        <v>39</v>
      </c>
      <c r="C711" t="s">
        <v>19</v>
      </c>
      <c r="D711" s="1" t="str">
        <v>Male</v>
      </c>
      <c r="E711">
        <v>1</v>
      </c>
      <c r="F711" t="s">
        <v>21</v>
      </c>
      <c r="G711" t="s">
        <v>24</v>
      </c>
      <c r="H711" t="s">
        <v>27</v>
      </c>
      <c r="I711">
        <v>2118</v>
      </c>
      <c r="J711" s="2" t="s">
        <v>43</v>
      </c>
      <c r="K711" s="1" t="str">
        <f t="shared" si="33"/>
        <v>Clean</v>
      </c>
      <c r="L711" s="1" t="b">
        <v>1</v>
      </c>
      <c r="M711" s="1" t="str">
        <f t="shared" si="34"/>
        <v>Valid</v>
      </c>
      <c r="N711">
        <v>9</v>
      </c>
      <c r="O711" s="1" t="str">
        <f t="shared" si="35"/>
        <v>Valid</v>
      </c>
      <c r="P711" t="s">
        <v>11</v>
      </c>
      <c r="Q711" s="1" t="str">
        <v>Radio/Tv</v>
      </c>
      <c r="R711">
        <v>1</v>
      </c>
      <c r="S711" s="2" t="s">
        <v>34</v>
      </c>
    </row>
    <row r="712" spans="1:19" x14ac:dyDescent="0.35">
      <c r="A712">
        <v>32</v>
      </c>
      <c r="B712" s="2" t="s">
        <v>39</v>
      </c>
      <c r="C712" t="s">
        <v>19</v>
      </c>
      <c r="D712" s="1" t="str">
        <v>Male</v>
      </c>
      <c r="E712">
        <v>3</v>
      </c>
      <c r="F712" t="s">
        <v>21</v>
      </c>
      <c r="G712" t="s">
        <v>25</v>
      </c>
      <c r="H712" t="s">
        <v>10</v>
      </c>
      <c r="I712">
        <v>629</v>
      </c>
      <c r="J712" s="2" t="s">
        <v>41</v>
      </c>
      <c r="K712" s="1" t="str">
        <f t="shared" si="33"/>
        <v>Has Spaces</v>
      </c>
      <c r="L712" s="1" t="b">
        <v>1</v>
      </c>
      <c r="M712" s="1" t="str">
        <f t="shared" si="34"/>
        <v>Valid</v>
      </c>
      <c r="N712">
        <v>18</v>
      </c>
      <c r="O712" s="1" t="str">
        <f t="shared" si="35"/>
        <v>Valid</v>
      </c>
      <c r="P712" t="s">
        <v>11</v>
      </c>
      <c r="Q712" s="1" t="str">
        <v>Radio/Tv</v>
      </c>
      <c r="R712">
        <v>1</v>
      </c>
      <c r="S712" s="2" t="s">
        <v>34</v>
      </c>
    </row>
    <row r="713" spans="1:19" x14ac:dyDescent="0.35">
      <c r="A713">
        <v>35</v>
      </c>
      <c r="B713" s="2" t="s">
        <v>39</v>
      </c>
      <c r="C713" t="s">
        <v>20</v>
      </c>
      <c r="D713" s="1" t="str">
        <v>Female</v>
      </c>
      <c r="E713">
        <v>2</v>
      </c>
      <c r="F713" t="s">
        <v>22</v>
      </c>
      <c r="G713" t="s">
        <v>24</v>
      </c>
      <c r="H713" t="s">
        <v>24</v>
      </c>
      <c r="I713">
        <v>1198</v>
      </c>
      <c r="J713" s="2" t="s">
        <v>41</v>
      </c>
      <c r="K713" s="1" t="str">
        <f t="shared" si="33"/>
        <v>Has Spaces</v>
      </c>
      <c r="L713" s="1" t="b">
        <v>1</v>
      </c>
      <c r="M713" s="1" t="str">
        <f t="shared" si="34"/>
        <v>Valid</v>
      </c>
      <c r="N713">
        <v>6</v>
      </c>
      <c r="O713" s="1" t="str">
        <f t="shared" si="35"/>
        <v>Valid</v>
      </c>
      <c r="P713" t="s">
        <v>12</v>
      </c>
      <c r="Q713" s="1" t="str">
        <v>Education</v>
      </c>
      <c r="R713">
        <v>2</v>
      </c>
      <c r="S713" s="2" t="s">
        <v>35</v>
      </c>
    </row>
    <row r="714" spans="1:19" x14ac:dyDescent="0.35">
      <c r="A714">
        <v>46</v>
      </c>
      <c r="B714" s="2" t="s">
        <v>39</v>
      </c>
      <c r="C714" t="s">
        <v>19</v>
      </c>
      <c r="D714" s="1" t="str">
        <v>Male</v>
      </c>
      <c r="E714">
        <v>3</v>
      </c>
      <c r="F714" t="s">
        <v>21</v>
      </c>
      <c r="G714" t="s">
        <v>10</v>
      </c>
      <c r="H714" t="s">
        <v>10</v>
      </c>
      <c r="I714">
        <v>2476</v>
      </c>
      <c r="J714" s="2" t="s">
        <v>43</v>
      </c>
      <c r="K714" s="1" t="str">
        <f t="shared" si="33"/>
        <v>Clean</v>
      </c>
      <c r="L714" s="1" t="b">
        <v>1</v>
      </c>
      <c r="M714" s="1" t="str">
        <f t="shared" si="34"/>
        <v>Valid</v>
      </c>
      <c r="N714">
        <v>21</v>
      </c>
      <c r="O714" s="1" t="str">
        <f t="shared" si="35"/>
        <v>Valid</v>
      </c>
      <c r="P714" t="s">
        <v>14</v>
      </c>
      <c r="Q714" s="1" t="str">
        <v>Car</v>
      </c>
      <c r="R714">
        <v>1</v>
      </c>
      <c r="S714" s="2" t="s">
        <v>34</v>
      </c>
    </row>
    <row r="715" spans="1:19" x14ac:dyDescent="0.35">
      <c r="A715">
        <v>25</v>
      </c>
      <c r="B715" s="2" t="s">
        <v>38</v>
      </c>
      <c r="C715" t="s">
        <v>19</v>
      </c>
      <c r="D715" s="1" t="str">
        <v>Male</v>
      </c>
      <c r="E715">
        <v>1</v>
      </c>
      <c r="F715" t="s">
        <v>21</v>
      </c>
      <c r="G715" t="s">
        <v>24</v>
      </c>
      <c r="H715" t="s">
        <v>24</v>
      </c>
      <c r="I715">
        <v>1138</v>
      </c>
      <c r="J715" s="2" t="s">
        <v>41</v>
      </c>
      <c r="K715" s="1" t="str">
        <f t="shared" si="33"/>
        <v>Has Spaces</v>
      </c>
      <c r="L715" s="1" t="b">
        <v>1</v>
      </c>
      <c r="M715" s="1" t="str">
        <f t="shared" si="34"/>
        <v>Valid</v>
      </c>
      <c r="N715">
        <v>9</v>
      </c>
      <c r="O715" s="1" t="str">
        <f t="shared" si="35"/>
        <v>Valid</v>
      </c>
      <c r="P715" t="s">
        <v>11</v>
      </c>
      <c r="Q715" s="1" t="str">
        <v>Radio/Tv</v>
      </c>
      <c r="R715">
        <v>1</v>
      </c>
      <c r="S715" s="2" t="s">
        <v>34</v>
      </c>
    </row>
    <row r="716" spans="1:19" x14ac:dyDescent="0.35">
      <c r="A716">
        <v>27</v>
      </c>
      <c r="B716" s="2" t="s">
        <v>38</v>
      </c>
      <c r="C716" t="s">
        <v>19</v>
      </c>
      <c r="D716" s="1" t="str">
        <v>Male</v>
      </c>
      <c r="E716">
        <v>3</v>
      </c>
      <c r="F716" t="s">
        <v>21</v>
      </c>
      <c r="G716" t="s">
        <v>24</v>
      </c>
      <c r="H716" t="s">
        <v>27</v>
      </c>
      <c r="I716">
        <v>14027</v>
      </c>
      <c r="J716" s="2" t="s">
        <v>42</v>
      </c>
      <c r="K716" s="1" t="str">
        <f t="shared" si="33"/>
        <v>Clean</v>
      </c>
      <c r="L716" s="1" t="b">
        <v>1</v>
      </c>
      <c r="M716" s="1" t="str">
        <f t="shared" si="34"/>
        <v>Valid</v>
      </c>
      <c r="N716">
        <v>60</v>
      </c>
      <c r="O716" s="1" t="str">
        <f t="shared" si="35"/>
        <v>Valid</v>
      </c>
      <c r="P716" t="s">
        <v>14</v>
      </c>
      <c r="Q716" s="1" t="str">
        <v>Car</v>
      </c>
      <c r="R716">
        <v>2</v>
      </c>
      <c r="S716" s="2" t="s">
        <v>35</v>
      </c>
    </row>
    <row r="717" spans="1:19" x14ac:dyDescent="0.35">
      <c r="A717">
        <v>63</v>
      </c>
      <c r="B717" s="2" t="s">
        <v>37</v>
      </c>
      <c r="C717" t="s">
        <v>19</v>
      </c>
      <c r="D717" s="1" t="str">
        <v>Male</v>
      </c>
      <c r="E717">
        <v>2</v>
      </c>
      <c r="F717" t="s">
        <v>21</v>
      </c>
      <c r="G717" t="s">
        <v>10</v>
      </c>
      <c r="H717" t="s">
        <v>10</v>
      </c>
      <c r="I717">
        <v>7596</v>
      </c>
      <c r="J717" s="2" t="s">
        <v>42</v>
      </c>
      <c r="K717" s="1" t="str">
        <f t="shared" si="33"/>
        <v>Clean</v>
      </c>
      <c r="L717" s="1" t="b">
        <v>1</v>
      </c>
      <c r="M717" s="1" t="str">
        <f t="shared" si="34"/>
        <v>Valid</v>
      </c>
      <c r="N717">
        <v>30</v>
      </c>
      <c r="O717" s="1" t="str">
        <f t="shared" si="35"/>
        <v>Valid</v>
      </c>
      <c r="P717" t="s">
        <v>14</v>
      </c>
      <c r="Q717" s="1" t="str">
        <v>Car</v>
      </c>
      <c r="R717">
        <v>1</v>
      </c>
      <c r="S717" s="2" t="s">
        <v>34</v>
      </c>
    </row>
    <row r="718" spans="1:19" x14ac:dyDescent="0.35">
      <c r="A718">
        <v>40</v>
      </c>
      <c r="B718" s="2" t="s">
        <v>39</v>
      </c>
      <c r="C718" t="s">
        <v>19</v>
      </c>
      <c r="D718" s="1" t="str">
        <v>Male</v>
      </c>
      <c r="E718">
        <v>2</v>
      </c>
      <c r="F718" t="s">
        <v>21</v>
      </c>
      <c r="G718" t="s">
        <v>10</v>
      </c>
      <c r="H718" t="s">
        <v>10</v>
      </c>
      <c r="I718">
        <v>3077</v>
      </c>
      <c r="J718" s="2" t="s">
        <v>43</v>
      </c>
      <c r="K718" s="1" t="str">
        <f t="shared" si="33"/>
        <v>Clean</v>
      </c>
      <c r="L718" s="1" t="b">
        <v>1</v>
      </c>
      <c r="M718" s="1" t="str">
        <f t="shared" si="34"/>
        <v>Valid</v>
      </c>
      <c r="N718">
        <v>30</v>
      </c>
      <c r="O718" s="1" t="str">
        <f t="shared" si="35"/>
        <v>Valid</v>
      </c>
      <c r="P718" t="s">
        <v>11</v>
      </c>
      <c r="Q718" s="1" t="str">
        <v>Radio/Tv</v>
      </c>
      <c r="R718">
        <v>1</v>
      </c>
      <c r="S718" s="2" t="s">
        <v>34</v>
      </c>
    </row>
    <row r="719" spans="1:19" x14ac:dyDescent="0.35">
      <c r="A719">
        <v>32</v>
      </c>
      <c r="B719" s="2" t="s">
        <v>39</v>
      </c>
      <c r="C719" t="s">
        <v>19</v>
      </c>
      <c r="D719" s="1" t="str">
        <v>Male</v>
      </c>
      <c r="E719">
        <v>3</v>
      </c>
      <c r="F719" t="s">
        <v>22</v>
      </c>
      <c r="G719" t="s">
        <v>24</v>
      </c>
      <c r="H719" t="s">
        <v>10</v>
      </c>
      <c r="I719">
        <v>1505</v>
      </c>
      <c r="J719" s="2" t="s">
        <v>41</v>
      </c>
      <c r="K719" s="1" t="str">
        <f t="shared" si="33"/>
        <v>Has Spaces</v>
      </c>
      <c r="L719" s="1" t="b">
        <v>1</v>
      </c>
      <c r="M719" s="1" t="str">
        <f t="shared" si="34"/>
        <v>Valid</v>
      </c>
      <c r="N719">
        <v>18</v>
      </c>
      <c r="O719" s="1" t="str">
        <f t="shared" si="35"/>
        <v>Valid</v>
      </c>
      <c r="P719" t="s">
        <v>11</v>
      </c>
      <c r="Q719" s="1" t="str">
        <v>Radio/Tv</v>
      </c>
      <c r="R719">
        <v>1</v>
      </c>
      <c r="S719" s="2" t="s">
        <v>34</v>
      </c>
    </row>
    <row r="720" spans="1:19" x14ac:dyDescent="0.35">
      <c r="A720">
        <v>31</v>
      </c>
      <c r="B720" s="2" t="s">
        <v>39</v>
      </c>
      <c r="C720" t="s">
        <v>19</v>
      </c>
      <c r="D720" s="1" t="str">
        <v>Male</v>
      </c>
      <c r="E720">
        <v>2</v>
      </c>
      <c r="F720" t="s">
        <v>21</v>
      </c>
      <c r="G720" t="s">
        <v>10</v>
      </c>
      <c r="H720" t="s">
        <v>26</v>
      </c>
      <c r="I720">
        <v>3148</v>
      </c>
      <c r="J720" s="2" t="s">
        <v>43</v>
      </c>
      <c r="K720" s="1" t="str">
        <f t="shared" si="33"/>
        <v>Clean</v>
      </c>
      <c r="L720" s="1" t="b">
        <v>1</v>
      </c>
      <c r="M720" s="1" t="str">
        <f t="shared" si="34"/>
        <v>Valid</v>
      </c>
      <c r="N720">
        <v>24</v>
      </c>
      <c r="O720" s="1" t="str">
        <f t="shared" si="35"/>
        <v>Valid</v>
      </c>
      <c r="P720" t="s">
        <v>11</v>
      </c>
      <c r="Q720" s="1" t="str">
        <v>Radio/Tv</v>
      </c>
      <c r="R720">
        <v>1</v>
      </c>
      <c r="S720" s="2" t="s">
        <v>34</v>
      </c>
    </row>
    <row r="721" spans="1:19" x14ac:dyDescent="0.35">
      <c r="A721">
        <v>31</v>
      </c>
      <c r="B721" s="2" t="s">
        <v>39</v>
      </c>
      <c r="C721" t="s">
        <v>19</v>
      </c>
      <c r="D721" s="1" t="str">
        <v>Male</v>
      </c>
      <c r="E721">
        <v>2</v>
      </c>
      <c r="F721" t="s">
        <v>21</v>
      </c>
      <c r="G721" t="s">
        <v>27</v>
      </c>
      <c r="H721" t="s">
        <v>27</v>
      </c>
      <c r="I721">
        <v>6148</v>
      </c>
      <c r="J721" s="2" t="s">
        <v>42</v>
      </c>
      <c r="K721" s="1" t="str">
        <f t="shared" si="33"/>
        <v>Clean</v>
      </c>
      <c r="L721" s="1" t="b">
        <v>1</v>
      </c>
      <c r="M721" s="1" t="str">
        <f t="shared" si="34"/>
        <v>Valid</v>
      </c>
      <c r="N721">
        <v>20</v>
      </c>
      <c r="O721" s="1" t="str">
        <f t="shared" si="35"/>
        <v>Valid</v>
      </c>
      <c r="P721" t="s">
        <v>14</v>
      </c>
      <c r="Q721" s="1" t="str">
        <v>Car</v>
      </c>
      <c r="R721">
        <v>1</v>
      </c>
      <c r="S721" s="2" t="s">
        <v>34</v>
      </c>
    </row>
    <row r="722" spans="1:19" x14ac:dyDescent="0.35">
      <c r="A722">
        <v>34</v>
      </c>
      <c r="B722" s="2" t="s">
        <v>39</v>
      </c>
      <c r="C722" t="s">
        <v>19</v>
      </c>
      <c r="D722" s="1" t="str">
        <v>Male</v>
      </c>
      <c r="E722">
        <v>3</v>
      </c>
      <c r="F722" t="s">
        <v>21</v>
      </c>
      <c r="G722" t="s">
        <v>24</v>
      </c>
      <c r="H722" t="s">
        <v>26</v>
      </c>
      <c r="I722">
        <v>1337</v>
      </c>
      <c r="J722" s="2" t="s">
        <v>41</v>
      </c>
      <c r="K722" s="1" t="str">
        <f t="shared" si="33"/>
        <v>Has Spaces</v>
      </c>
      <c r="L722" s="1" t="b">
        <v>1</v>
      </c>
      <c r="M722" s="1" t="str">
        <f t="shared" si="34"/>
        <v>Valid</v>
      </c>
      <c r="N722">
        <v>9</v>
      </c>
      <c r="O722" s="1" t="str">
        <f t="shared" si="35"/>
        <v>Valid</v>
      </c>
      <c r="P722" t="s">
        <v>11</v>
      </c>
      <c r="Q722" s="1" t="str">
        <v>Radio/Tv</v>
      </c>
      <c r="R722">
        <v>2</v>
      </c>
      <c r="S722" s="2" t="s">
        <v>35</v>
      </c>
    </row>
    <row r="723" spans="1:19" x14ac:dyDescent="0.35">
      <c r="A723">
        <v>24</v>
      </c>
      <c r="B723" s="2" t="s">
        <v>38</v>
      </c>
      <c r="C723" t="s">
        <v>20</v>
      </c>
      <c r="D723" s="1" t="str">
        <v>Female</v>
      </c>
      <c r="E723">
        <v>2</v>
      </c>
      <c r="F723" t="s">
        <v>23</v>
      </c>
      <c r="G723" t="s">
        <v>26</v>
      </c>
      <c r="H723" t="s">
        <v>27</v>
      </c>
      <c r="I723">
        <v>433</v>
      </c>
      <c r="J723" s="2" t="s">
        <v>41</v>
      </c>
      <c r="K723" s="1" t="str">
        <f t="shared" si="33"/>
        <v>Has Spaces</v>
      </c>
      <c r="L723" s="1" t="b">
        <v>1</v>
      </c>
      <c r="M723" s="1" t="str">
        <f t="shared" si="34"/>
        <v>Valid</v>
      </c>
      <c r="N723">
        <v>6</v>
      </c>
      <c r="O723" s="1" t="str">
        <f t="shared" si="35"/>
        <v>Valid</v>
      </c>
      <c r="P723" t="s">
        <v>12</v>
      </c>
      <c r="Q723" s="1" t="str">
        <v>Education</v>
      </c>
      <c r="R723">
        <v>2</v>
      </c>
      <c r="S723" s="2" t="s">
        <v>35</v>
      </c>
    </row>
    <row r="724" spans="1:19" x14ac:dyDescent="0.35">
      <c r="A724">
        <v>24</v>
      </c>
      <c r="B724" s="2" t="s">
        <v>38</v>
      </c>
      <c r="C724" t="s">
        <v>20</v>
      </c>
      <c r="D724" s="1" t="str">
        <v>Female</v>
      </c>
      <c r="E724">
        <v>1</v>
      </c>
      <c r="F724" t="s">
        <v>21</v>
      </c>
      <c r="G724" t="s">
        <v>24</v>
      </c>
      <c r="H724" t="s">
        <v>24</v>
      </c>
      <c r="I724">
        <v>1228</v>
      </c>
      <c r="J724" s="2" t="s">
        <v>41</v>
      </c>
      <c r="K724" s="1" t="str">
        <f t="shared" si="33"/>
        <v>Has Spaces</v>
      </c>
      <c r="L724" s="1" t="b">
        <v>1</v>
      </c>
      <c r="M724" s="1" t="str">
        <f t="shared" si="34"/>
        <v>Valid</v>
      </c>
      <c r="N724">
        <v>12</v>
      </c>
      <c r="O724" s="1" t="str">
        <f t="shared" si="35"/>
        <v>Valid</v>
      </c>
      <c r="P724" t="s">
        <v>14</v>
      </c>
      <c r="Q724" s="1" t="str">
        <v>Car</v>
      </c>
      <c r="R724">
        <v>2</v>
      </c>
      <c r="S724" s="2" t="s">
        <v>35</v>
      </c>
    </row>
    <row r="725" spans="1:19" x14ac:dyDescent="0.35">
      <c r="A725">
        <v>66</v>
      </c>
      <c r="B725" s="2" t="s">
        <v>37</v>
      </c>
      <c r="C725" t="s">
        <v>20</v>
      </c>
      <c r="D725" s="1" t="str">
        <v>Female</v>
      </c>
      <c r="E725">
        <v>1</v>
      </c>
      <c r="F725" t="s">
        <v>21</v>
      </c>
      <c r="G725" t="s">
        <v>25</v>
      </c>
      <c r="H725" t="s">
        <v>27</v>
      </c>
      <c r="I725">
        <v>790</v>
      </c>
      <c r="J725" s="2" t="s">
        <v>41</v>
      </c>
      <c r="K725" s="1" t="str">
        <f t="shared" si="33"/>
        <v>Has Spaces</v>
      </c>
      <c r="L725" s="1" t="b">
        <v>1</v>
      </c>
      <c r="M725" s="1" t="str">
        <f t="shared" si="34"/>
        <v>Valid</v>
      </c>
      <c r="N725">
        <v>9</v>
      </c>
      <c r="O725" s="1" t="str">
        <f t="shared" si="35"/>
        <v>Valid</v>
      </c>
      <c r="P725" t="s">
        <v>11</v>
      </c>
      <c r="Q725" s="1" t="str">
        <v>Radio/Tv</v>
      </c>
      <c r="R725">
        <v>1</v>
      </c>
      <c r="S725" s="2" t="s">
        <v>34</v>
      </c>
    </row>
    <row r="726" spans="1:19" x14ac:dyDescent="0.35">
      <c r="A726">
        <v>21</v>
      </c>
      <c r="B726" s="2" t="s">
        <v>38</v>
      </c>
      <c r="C726" t="s">
        <v>20</v>
      </c>
      <c r="D726" s="1" t="str">
        <v>Female</v>
      </c>
      <c r="E726">
        <v>2</v>
      </c>
      <c r="F726" t="s">
        <v>23</v>
      </c>
      <c r="G726" t="s">
        <v>24</v>
      </c>
      <c r="H726" t="s">
        <v>10</v>
      </c>
      <c r="I726">
        <v>2570</v>
      </c>
      <c r="J726" s="2" t="s">
        <v>43</v>
      </c>
      <c r="K726" s="1" t="str">
        <f t="shared" si="33"/>
        <v>Clean</v>
      </c>
      <c r="L726" s="1" t="b">
        <v>1</v>
      </c>
      <c r="M726" s="1" t="str">
        <f t="shared" si="34"/>
        <v>Valid</v>
      </c>
      <c r="N726">
        <v>27</v>
      </c>
      <c r="O726" s="1" t="str">
        <f t="shared" si="35"/>
        <v>Valid</v>
      </c>
      <c r="P726" t="s">
        <v>14</v>
      </c>
      <c r="Q726" s="1" t="str">
        <v>Car</v>
      </c>
      <c r="R726">
        <v>2</v>
      </c>
      <c r="S726" s="2" t="s">
        <v>35</v>
      </c>
    </row>
    <row r="727" spans="1:19" x14ac:dyDescent="0.35">
      <c r="A727">
        <v>41</v>
      </c>
      <c r="B727" s="2" t="s">
        <v>39</v>
      </c>
      <c r="C727" t="s">
        <v>20</v>
      </c>
      <c r="D727" s="1" t="str">
        <v>Female</v>
      </c>
      <c r="E727">
        <v>1</v>
      </c>
      <c r="F727" t="s">
        <v>21</v>
      </c>
      <c r="G727" t="s">
        <v>26</v>
      </c>
      <c r="H727" t="s">
        <v>10</v>
      </c>
      <c r="I727">
        <v>250</v>
      </c>
      <c r="J727" s="2" t="s">
        <v>41</v>
      </c>
      <c r="K727" s="1" t="str">
        <f t="shared" si="33"/>
        <v>Has Spaces</v>
      </c>
      <c r="L727" s="1" t="b">
        <v>1</v>
      </c>
      <c r="M727" s="1" t="str">
        <f t="shared" si="34"/>
        <v>Valid</v>
      </c>
      <c r="N727">
        <v>6</v>
      </c>
      <c r="O727" s="1" t="str">
        <f t="shared" si="35"/>
        <v>Valid</v>
      </c>
      <c r="P727" t="s">
        <v>14</v>
      </c>
      <c r="Q727" s="1" t="str">
        <v>Car</v>
      </c>
      <c r="R727">
        <v>1</v>
      </c>
      <c r="S727" s="2" t="s">
        <v>34</v>
      </c>
    </row>
    <row r="728" spans="1:19" x14ac:dyDescent="0.35">
      <c r="A728">
        <v>47</v>
      </c>
      <c r="B728" s="2" t="s">
        <v>39</v>
      </c>
      <c r="C728" t="s">
        <v>19</v>
      </c>
      <c r="D728" s="1" t="str">
        <v>Male</v>
      </c>
      <c r="E728">
        <v>1</v>
      </c>
      <c r="F728" t="s">
        <v>21</v>
      </c>
      <c r="G728" t="s">
        <v>25</v>
      </c>
      <c r="H728" t="s">
        <v>10</v>
      </c>
      <c r="I728">
        <v>1316</v>
      </c>
      <c r="J728" s="2" t="s">
        <v>41</v>
      </c>
      <c r="K728" s="1" t="str">
        <f t="shared" si="33"/>
        <v>Has Spaces</v>
      </c>
      <c r="L728" s="1" t="b">
        <v>1</v>
      </c>
      <c r="M728" s="1" t="str">
        <f t="shared" si="34"/>
        <v>Valid</v>
      </c>
      <c r="N728">
        <v>15</v>
      </c>
      <c r="O728" s="1" t="str">
        <f t="shared" si="35"/>
        <v>Valid</v>
      </c>
      <c r="P728" t="s">
        <v>11</v>
      </c>
      <c r="Q728" s="1" t="str">
        <v>Radio/Tv</v>
      </c>
      <c r="R728">
        <v>1</v>
      </c>
      <c r="S728" s="2" t="s">
        <v>34</v>
      </c>
    </row>
    <row r="729" spans="1:19" x14ac:dyDescent="0.35">
      <c r="A729">
        <v>25</v>
      </c>
      <c r="B729" s="2" t="s">
        <v>38</v>
      </c>
      <c r="C729" t="s">
        <v>20</v>
      </c>
      <c r="D729" s="1" t="str">
        <v>Female</v>
      </c>
      <c r="E729">
        <v>2</v>
      </c>
      <c r="F729" t="s">
        <v>23</v>
      </c>
      <c r="G729" t="s">
        <v>24</v>
      </c>
      <c r="H729" t="s">
        <v>24</v>
      </c>
      <c r="I729">
        <v>1882</v>
      </c>
      <c r="J729" s="2" t="s">
        <v>41</v>
      </c>
      <c r="K729" s="1" t="str">
        <f t="shared" si="33"/>
        <v>Has Spaces</v>
      </c>
      <c r="L729" s="1" t="b">
        <v>1</v>
      </c>
      <c r="M729" s="1" t="str">
        <f t="shared" si="34"/>
        <v>Valid</v>
      </c>
      <c r="N729">
        <v>18</v>
      </c>
      <c r="O729" s="1" t="str">
        <f t="shared" si="35"/>
        <v>Valid</v>
      </c>
      <c r="P729" t="s">
        <v>11</v>
      </c>
      <c r="Q729" s="1" t="str">
        <v>Radio/Tv</v>
      </c>
      <c r="R729">
        <v>2</v>
      </c>
      <c r="S729" s="2" t="s">
        <v>35</v>
      </c>
    </row>
    <row r="730" spans="1:19" x14ac:dyDescent="0.35">
      <c r="A730">
        <v>59</v>
      </c>
      <c r="B730" s="2" t="s">
        <v>37</v>
      </c>
      <c r="C730" t="s">
        <v>20</v>
      </c>
      <c r="D730" s="1" t="str">
        <v>Female</v>
      </c>
      <c r="E730">
        <v>2</v>
      </c>
      <c r="F730" t="s">
        <v>23</v>
      </c>
      <c r="G730" t="s">
        <v>24</v>
      </c>
      <c r="H730" t="s">
        <v>27</v>
      </c>
      <c r="I730">
        <v>6416</v>
      </c>
      <c r="J730" s="2" t="s">
        <v>42</v>
      </c>
      <c r="K730" s="1" t="str">
        <f t="shared" si="33"/>
        <v>Clean</v>
      </c>
      <c r="L730" s="1" t="b">
        <v>1</v>
      </c>
      <c r="M730" s="1" t="str">
        <f t="shared" si="34"/>
        <v>Valid</v>
      </c>
      <c r="N730">
        <v>48</v>
      </c>
      <c r="O730" s="1" t="str">
        <f t="shared" si="35"/>
        <v>Valid</v>
      </c>
      <c r="P730" t="s">
        <v>15</v>
      </c>
      <c r="Q730" s="1" t="str">
        <v>Business</v>
      </c>
      <c r="R730">
        <v>2</v>
      </c>
      <c r="S730" s="2" t="s">
        <v>35</v>
      </c>
    </row>
    <row r="731" spans="1:19" x14ac:dyDescent="0.35">
      <c r="A731">
        <v>36</v>
      </c>
      <c r="B731" s="2" t="s">
        <v>39</v>
      </c>
      <c r="C731" t="s">
        <v>19</v>
      </c>
      <c r="D731" s="1" t="str">
        <v>Male</v>
      </c>
      <c r="E731">
        <v>2</v>
      </c>
      <c r="F731" t="s">
        <v>21</v>
      </c>
      <c r="G731" t="s">
        <v>26</v>
      </c>
      <c r="H731" t="s">
        <v>26</v>
      </c>
      <c r="I731">
        <v>1275</v>
      </c>
      <c r="J731" s="2" t="s">
        <v>41</v>
      </c>
      <c r="K731" s="1" t="str">
        <f t="shared" si="33"/>
        <v>Has Spaces</v>
      </c>
      <c r="L731" s="1" t="b">
        <v>1</v>
      </c>
      <c r="M731" s="1" t="str">
        <f t="shared" si="34"/>
        <v>Valid</v>
      </c>
      <c r="N731">
        <v>24</v>
      </c>
      <c r="O731" s="1" t="str">
        <f t="shared" si="35"/>
        <v>Valid</v>
      </c>
      <c r="P731" t="s">
        <v>15</v>
      </c>
      <c r="Q731" s="1" t="str">
        <v>Business</v>
      </c>
      <c r="R731">
        <v>1</v>
      </c>
      <c r="S731" s="2" t="s">
        <v>34</v>
      </c>
    </row>
    <row r="732" spans="1:19" x14ac:dyDescent="0.35">
      <c r="A732">
        <v>33</v>
      </c>
      <c r="B732" s="2" t="s">
        <v>39</v>
      </c>
      <c r="C732" t="s">
        <v>19</v>
      </c>
      <c r="D732" s="1" t="str">
        <v>Male</v>
      </c>
      <c r="E732">
        <v>2</v>
      </c>
      <c r="F732" t="s">
        <v>21</v>
      </c>
      <c r="G732" t="s">
        <v>24</v>
      </c>
      <c r="H732" t="s">
        <v>27</v>
      </c>
      <c r="I732">
        <v>6403</v>
      </c>
      <c r="J732" s="2" t="s">
        <v>42</v>
      </c>
      <c r="K732" s="1" t="str">
        <f t="shared" si="33"/>
        <v>Clean</v>
      </c>
      <c r="L732" s="1" t="b">
        <v>1</v>
      </c>
      <c r="M732" s="1" t="str">
        <f t="shared" si="34"/>
        <v>Valid</v>
      </c>
      <c r="N732">
        <v>24</v>
      </c>
      <c r="O732" s="1" t="str">
        <f t="shared" si="35"/>
        <v>Valid</v>
      </c>
      <c r="P732" t="s">
        <v>11</v>
      </c>
      <c r="Q732" s="1" t="str">
        <v>Radio/Tv</v>
      </c>
      <c r="R732">
        <v>1</v>
      </c>
      <c r="S732" s="2" t="s">
        <v>34</v>
      </c>
    </row>
    <row r="733" spans="1:19" x14ac:dyDescent="0.35">
      <c r="A733">
        <v>21</v>
      </c>
      <c r="B733" s="2" t="s">
        <v>38</v>
      </c>
      <c r="C733" t="s">
        <v>19</v>
      </c>
      <c r="D733" s="1" t="str">
        <v>Male</v>
      </c>
      <c r="E733">
        <v>1</v>
      </c>
      <c r="F733" t="s">
        <v>23</v>
      </c>
      <c r="G733" t="s">
        <v>24</v>
      </c>
      <c r="H733" t="s">
        <v>24</v>
      </c>
      <c r="I733">
        <v>1987</v>
      </c>
      <c r="J733" s="2" t="s">
        <v>41</v>
      </c>
      <c r="K733" s="1" t="str">
        <f t="shared" si="33"/>
        <v>Has Spaces</v>
      </c>
      <c r="L733" s="1" t="b">
        <v>1</v>
      </c>
      <c r="M733" s="1" t="str">
        <f t="shared" si="34"/>
        <v>Valid</v>
      </c>
      <c r="N733">
        <v>24</v>
      </c>
      <c r="O733" s="1" t="str">
        <f t="shared" si="35"/>
        <v>Valid</v>
      </c>
      <c r="P733" t="s">
        <v>11</v>
      </c>
      <c r="Q733" s="1" t="str">
        <v>Radio/Tv</v>
      </c>
      <c r="R733">
        <v>2</v>
      </c>
      <c r="S733" s="2" t="s">
        <v>35</v>
      </c>
    </row>
    <row r="734" spans="1:19" x14ac:dyDescent="0.35">
      <c r="A734">
        <v>44</v>
      </c>
      <c r="B734" s="2" t="s">
        <v>39</v>
      </c>
      <c r="C734" t="s">
        <v>20</v>
      </c>
      <c r="D734" s="1" t="str">
        <v>Female</v>
      </c>
      <c r="E734">
        <v>1</v>
      </c>
      <c r="F734" t="s">
        <v>21</v>
      </c>
      <c r="G734" t="s">
        <v>24</v>
      </c>
      <c r="H734" t="s">
        <v>27</v>
      </c>
      <c r="I734">
        <v>760</v>
      </c>
      <c r="J734" s="2" t="s">
        <v>41</v>
      </c>
      <c r="K734" s="1" t="str">
        <f t="shared" si="33"/>
        <v>Has Spaces</v>
      </c>
      <c r="L734" s="1" t="b">
        <v>1</v>
      </c>
      <c r="M734" s="1" t="str">
        <f t="shared" si="34"/>
        <v>Valid</v>
      </c>
      <c r="N734">
        <v>8</v>
      </c>
      <c r="O734" s="1" t="str">
        <f t="shared" si="35"/>
        <v>Valid</v>
      </c>
      <c r="P734" t="s">
        <v>11</v>
      </c>
      <c r="Q734" s="1" t="str">
        <v>Radio/Tv</v>
      </c>
      <c r="R734">
        <v>1</v>
      </c>
      <c r="S734" s="2" t="s">
        <v>34</v>
      </c>
    </row>
    <row r="735" spans="1:19" x14ac:dyDescent="0.35">
      <c r="A735">
        <v>28</v>
      </c>
      <c r="B735" s="2" t="s">
        <v>38</v>
      </c>
      <c r="C735" t="s">
        <v>20</v>
      </c>
      <c r="D735" s="1" t="str">
        <v>Female</v>
      </c>
      <c r="E735">
        <v>2</v>
      </c>
      <c r="F735" t="s">
        <v>23</v>
      </c>
      <c r="G735" t="s">
        <v>26</v>
      </c>
      <c r="H735" t="s">
        <v>10</v>
      </c>
      <c r="I735">
        <v>2603</v>
      </c>
      <c r="J735" s="2" t="s">
        <v>43</v>
      </c>
      <c r="K735" s="1" t="str">
        <f t="shared" si="33"/>
        <v>Clean</v>
      </c>
      <c r="L735" s="1" t="b">
        <v>1</v>
      </c>
      <c r="M735" s="1" t="str">
        <f t="shared" si="34"/>
        <v>Valid</v>
      </c>
      <c r="N735">
        <v>24</v>
      </c>
      <c r="O735" s="1" t="str">
        <f t="shared" si="35"/>
        <v>Valid</v>
      </c>
      <c r="P735" t="s">
        <v>14</v>
      </c>
      <c r="Q735" s="1" t="str">
        <v>Car</v>
      </c>
      <c r="R735">
        <v>1</v>
      </c>
      <c r="S735" s="2" t="s">
        <v>34</v>
      </c>
    </row>
    <row r="736" spans="1:19" x14ac:dyDescent="0.35">
      <c r="A736">
        <v>37</v>
      </c>
      <c r="B736" s="2" t="s">
        <v>39</v>
      </c>
      <c r="C736" t="s">
        <v>20</v>
      </c>
      <c r="D736" s="1" t="str">
        <v>Female</v>
      </c>
      <c r="E736">
        <v>2</v>
      </c>
      <c r="F736" t="s">
        <v>21</v>
      </c>
      <c r="G736" t="s">
        <v>24</v>
      </c>
      <c r="H736" t="s">
        <v>10</v>
      </c>
      <c r="I736">
        <v>3380</v>
      </c>
      <c r="J736" s="2" t="s">
        <v>43</v>
      </c>
      <c r="K736" s="1" t="str">
        <f t="shared" si="33"/>
        <v>Clean</v>
      </c>
      <c r="L736" s="1" t="b">
        <v>1</v>
      </c>
      <c r="M736" s="1" t="str">
        <f t="shared" si="34"/>
        <v>Valid</v>
      </c>
      <c r="N736">
        <v>4</v>
      </c>
      <c r="O736" s="1" t="str">
        <f t="shared" si="35"/>
        <v>Valid</v>
      </c>
      <c r="P736" t="s">
        <v>14</v>
      </c>
      <c r="Q736" s="1" t="str">
        <v>Car</v>
      </c>
      <c r="R736">
        <v>1</v>
      </c>
      <c r="S736" s="2" t="s">
        <v>34</v>
      </c>
    </row>
    <row r="737" spans="1:19" x14ac:dyDescent="0.35">
      <c r="A737">
        <v>29</v>
      </c>
      <c r="B737" s="2" t="s">
        <v>38</v>
      </c>
      <c r="C737" t="s">
        <v>20</v>
      </c>
      <c r="D737" s="1" t="str">
        <v>Female</v>
      </c>
      <c r="E737">
        <v>0</v>
      </c>
      <c r="F737" t="s">
        <v>21</v>
      </c>
      <c r="G737" t="s">
        <v>10</v>
      </c>
      <c r="H737" t="s">
        <v>27</v>
      </c>
      <c r="I737">
        <v>3990</v>
      </c>
      <c r="J737" s="2" t="s">
        <v>43</v>
      </c>
      <c r="K737" s="1" t="str">
        <f t="shared" si="33"/>
        <v>Clean</v>
      </c>
      <c r="L737" s="1" t="b">
        <v>1</v>
      </c>
      <c r="M737" s="1" t="str">
        <f t="shared" si="34"/>
        <v>Valid</v>
      </c>
      <c r="N737">
        <v>36</v>
      </c>
      <c r="O737" s="1" t="str">
        <f t="shared" si="35"/>
        <v>Valid</v>
      </c>
      <c r="P737" t="s">
        <v>16</v>
      </c>
      <c r="Q737" s="1" t="str">
        <v>Domestic Appliances</v>
      </c>
      <c r="R737">
        <v>1</v>
      </c>
      <c r="S737" s="2" t="s">
        <v>34</v>
      </c>
    </row>
    <row r="738" spans="1:19" x14ac:dyDescent="0.35">
      <c r="A738">
        <v>23</v>
      </c>
      <c r="B738" s="2" t="s">
        <v>38</v>
      </c>
      <c r="C738" t="s">
        <v>20</v>
      </c>
      <c r="D738" s="1" t="str">
        <v>Female</v>
      </c>
      <c r="E738">
        <v>3</v>
      </c>
      <c r="F738" t="s">
        <v>23</v>
      </c>
      <c r="G738" t="s">
        <v>24</v>
      </c>
      <c r="H738" t="s">
        <v>27</v>
      </c>
      <c r="I738">
        <v>11560</v>
      </c>
      <c r="J738" s="2" t="s">
        <v>42</v>
      </c>
      <c r="K738" s="1" t="str">
        <f t="shared" si="33"/>
        <v>Clean</v>
      </c>
      <c r="L738" s="1" t="b">
        <v>1</v>
      </c>
      <c r="M738" s="1" t="str">
        <f t="shared" si="34"/>
        <v>Valid</v>
      </c>
      <c r="N738">
        <v>24</v>
      </c>
      <c r="O738" s="1" t="str">
        <f t="shared" si="35"/>
        <v>Valid</v>
      </c>
      <c r="P738" t="s">
        <v>14</v>
      </c>
      <c r="Q738" s="1" t="str">
        <v>Car</v>
      </c>
      <c r="R738">
        <v>2</v>
      </c>
      <c r="S738" s="2" t="s">
        <v>35</v>
      </c>
    </row>
    <row r="739" spans="1:19" x14ac:dyDescent="0.35">
      <c r="A739">
        <v>35</v>
      </c>
      <c r="B739" s="2" t="s">
        <v>39</v>
      </c>
      <c r="C739" t="s">
        <v>19</v>
      </c>
      <c r="D739" s="1" t="str">
        <v>Male</v>
      </c>
      <c r="E739">
        <v>1</v>
      </c>
      <c r="F739" t="s">
        <v>21</v>
      </c>
      <c r="G739" t="s">
        <v>27</v>
      </c>
      <c r="H739" t="s">
        <v>24</v>
      </c>
      <c r="I739">
        <v>4380</v>
      </c>
      <c r="J739" s="2" t="s">
        <v>43</v>
      </c>
      <c r="K739" s="1" t="str">
        <f t="shared" si="33"/>
        <v>Clean</v>
      </c>
      <c r="L739" s="1" t="b">
        <v>1</v>
      </c>
      <c r="M739" s="1" t="str">
        <f t="shared" si="34"/>
        <v>Valid</v>
      </c>
      <c r="N739">
        <v>18</v>
      </c>
      <c r="O739" s="1" t="str">
        <f t="shared" si="35"/>
        <v>Valid</v>
      </c>
      <c r="P739" t="s">
        <v>14</v>
      </c>
      <c r="Q739" s="1" t="str">
        <v>Car</v>
      </c>
      <c r="R739">
        <v>1</v>
      </c>
      <c r="S739" s="2" t="s">
        <v>34</v>
      </c>
    </row>
    <row r="740" spans="1:19" x14ac:dyDescent="0.35">
      <c r="A740">
        <v>45</v>
      </c>
      <c r="B740" s="2" t="s">
        <v>39</v>
      </c>
      <c r="C740" t="s">
        <v>19</v>
      </c>
      <c r="D740" s="1" t="str">
        <v>Male</v>
      </c>
      <c r="E740">
        <v>3</v>
      </c>
      <c r="F740" t="s">
        <v>21</v>
      </c>
      <c r="G740" t="s">
        <v>24</v>
      </c>
      <c r="H740" t="s">
        <v>10</v>
      </c>
      <c r="I740">
        <v>6761</v>
      </c>
      <c r="J740" s="2" t="s">
        <v>42</v>
      </c>
      <c r="K740" s="1" t="str">
        <f t="shared" si="33"/>
        <v>Clean</v>
      </c>
      <c r="L740" s="1" t="b">
        <v>1</v>
      </c>
      <c r="M740" s="1" t="str">
        <f t="shared" si="34"/>
        <v>Valid</v>
      </c>
      <c r="N740">
        <v>6</v>
      </c>
      <c r="O740" s="1" t="str">
        <f t="shared" si="35"/>
        <v>Valid</v>
      </c>
      <c r="P740" t="s">
        <v>14</v>
      </c>
      <c r="Q740" s="1" t="str">
        <v>Car</v>
      </c>
      <c r="R740">
        <v>1</v>
      </c>
      <c r="S740" s="2" t="s">
        <v>34</v>
      </c>
    </row>
    <row r="741" spans="1:19" x14ac:dyDescent="0.35">
      <c r="A741">
        <v>26</v>
      </c>
      <c r="B741" s="2" t="s">
        <v>38</v>
      </c>
      <c r="C741" t="s">
        <v>20</v>
      </c>
      <c r="D741" s="1" t="str">
        <v>Female</v>
      </c>
      <c r="E741">
        <v>1</v>
      </c>
      <c r="F741" t="s">
        <v>23</v>
      </c>
      <c r="G741" t="s">
        <v>27</v>
      </c>
      <c r="H741" t="s">
        <v>27</v>
      </c>
      <c r="I741">
        <v>4280</v>
      </c>
      <c r="J741" s="2" t="s">
        <v>43</v>
      </c>
      <c r="K741" s="1" t="str">
        <f t="shared" si="33"/>
        <v>Clean</v>
      </c>
      <c r="L741" s="1" t="b">
        <v>1</v>
      </c>
      <c r="M741" s="1" t="str">
        <f t="shared" si="34"/>
        <v>Valid</v>
      </c>
      <c r="N741">
        <v>30</v>
      </c>
      <c r="O741" s="1" t="str">
        <f t="shared" si="35"/>
        <v>Valid</v>
      </c>
      <c r="P741" t="s">
        <v>15</v>
      </c>
      <c r="Q741" s="1" t="str">
        <v>Business</v>
      </c>
      <c r="R741">
        <v>2</v>
      </c>
      <c r="S741" s="2" t="s">
        <v>35</v>
      </c>
    </row>
    <row r="742" spans="1:19" x14ac:dyDescent="0.35">
      <c r="A742">
        <v>32</v>
      </c>
      <c r="B742" s="2" t="s">
        <v>39</v>
      </c>
      <c r="C742" t="s">
        <v>19</v>
      </c>
      <c r="D742" s="1" t="str">
        <v>Male</v>
      </c>
      <c r="E742">
        <v>2</v>
      </c>
      <c r="F742" t="s">
        <v>21</v>
      </c>
      <c r="G742" t="s">
        <v>27</v>
      </c>
      <c r="H742" t="s">
        <v>24</v>
      </c>
      <c r="I742">
        <v>2325</v>
      </c>
      <c r="J742" s="2" t="s">
        <v>43</v>
      </c>
      <c r="K742" s="1" t="str">
        <f t="shared" si="33"/>
        <v>Clean</v>
      </c>
      <c r="L742" s="1" t="b">
        <v>1</v>
      </c>
      <c r="M742" s="1" t="str">
        <f t="shared" si="34"/>
        <v>Valid</v>
      </c>
      <c r="N742">
        <v>24</v>
      </c>
      <c r="O742" s="1" t="str">
        <f t="shared" si="35"/>
        <v>Valid</v>
      </c>
      <c r="P742" t="s">
        <v>14</v>
      </c>
      <c r="Q742" s="1" t="str">
        <v>Car</v>
      </c>
      <c r="R742">
        <v>1</v>
      </c>
      <c r="S742" s="2" t="s">
        <v>34</v>
      </c>
    </row>
    <row r="743" spans="1:19" x14ac:dyDescent="0.35">
      <c r="A743">
        <v>23</v>
      </c>
      <c r="B743" s="2" t="s">
        <v>38</v>
      </c>
      <c r="C743" t="s">
        <v>19</v>
      </c>
      <c r="D743" s="1" t="str">
        <v>Male</v>
      </c>
      <c r="E743">
        <v>1</v>
      </c>
      <c r="F743" t="s">
        <v>21</v>
      </c>
      <c r="G743" t="s">
        <v>24</v>
      </c>
      <c r="H743" t="s">
        <v>27</v>
      </c>
      <c r="I743">
        <v>1048</v>
      </c>
      <c r="J743" s="2" t="s">
        <v>41</v>
      </c>
      <c r="K743" s="1" t="str">
        <f t="shared" si="33"/>
        <v>Has Spaces</v>
      </c>
      <c r="L743" s="1" t="b">
        <v>1</v>
      </c>
      <c r="M743" s="1" t="str">
        <f t="shared" si="34"/>
        <v>Valid</v>
      </c>
      <c r="N743">
        <v>10</v>
      </c>
      <c r="O743" s="1" t="str">
        <f t="shared" si="35"/>
        <v>Valid</v>
      </c>
      <c r="P743" t="s">
        <v>11</v>
      </c>
      <c r="Q743" s="1" t="str">
        <v>Radio/Tv</v>
      </c>
      <c r="R743">
        <v>1</v>
      </c>
      <c r="S743" s="2" t="s">
        <v>34</v>
      </c>
    </row>
    <row r="744" spans="1:19" x14ac:dyDescent="0.35">
      <c r="A744">
        <v>41</v>
      </c>
      <c r="B744" s="2" t="s">
        <v>39</v>
      </c>
      <c r="C744" t="s">
        <v>19</v>
      </c>
      <c r="D744" s="1" t="str">
        <v>Male</v>
      </c>
      <c r="E744">
        <v>2</v>
      </c>
      <c r="F744" t="s">
        <v>21</v>
      </c>
      <c r="G744" t="s">
        <v>10</v>
      </c>
      <c r="H744" t="s">
        <v>10</v>
      </c>
      <c r="I744">
        <v>3160</v>
      </c>
      <c r="J744" s="2" t="s">
        <v>43</v>
      </c>
      <c r="K744" s="1" t="str">
        <f t="shared" si="33"/>
        <v>Clean</v>
      </c>
      <c r="L744" s="1" t="b">
        <v>1</v>
      </c>
      <c r="M744" s="1" t="str">
        <f t="shared" si="34"/>
        <v>Valid</v>
      </c>
      <c r="N744">
        <v>21</v>
      </c>
      <c r="O744" s="1" t="str">
        <f t="shared" si="35"/>
        <v>Valid</v>
      </c>
      <c r="P744" t="s">
        <v>11</v>
      </c>
      <c r="Q744" s="1" t="str">
        <v>Radio/Tv</v>
      </c>
      <c r="R744">
        <v>1</v>
      </c>
      <c r="S744" s="2" t="s">
        <v>34</v>
      </c>
    </row>
    <row r="745" spans="1:19" x14ac:dyDescent="0.35">
      <c r="A745">
        <v>22</v>
      </c>
      <c r="B745" s="2" t="s">
        <v>38</v>
      </c>
      <c r="C745" t="s">
        <v>19</v>
      </c>
      <c r="D745" s="1" t="str">
        <v>Male</v>
      </c>
      <c r="E745">
        <v>2</v>
      </c>
      <c r="F745" t="s">
        <v>21</v>
      </c>
      <c r="G745" t="s">
        <v>25</v>
      </c>
      <c r="H745" t="s">
        <v>24</v>
      </c>
      <c r="I745">
        <v>2483</v>
      </c>
      <c r="J745" s="2" t="s">
        <v>43</v>
      </c>
      <c r="K745" s="1" t="str">
        <f t="shared" si="33"/>
        <v>Clean</v>
      </c>
      <c r="L745" s="1" t="b">
        <v>1</v>
      </c>
      <c r="M745" s="1" t="str">
        <f t="shared" si="34"/>
        <v>Valid</v>
      </c>
      <c r="N745">
        <v>24</v>
      </c>
      <c r="O745" s="1" t="str">
        <f t="shared" si="35"/>
        <v>Valid</v>
      </c>
      <c r="P745" t="s">
        <v>13</v>
      </c>
      <c r="Q745" s="1" t="str">
        <v>Furniture/Equipment</v>
      </c>
      <c r="R745">
        <v>1</v>
      </c>
      <c r="S745" s="2" t="s">
        <v>34</v>
      </c>
    </row>
    <row r="746" spans="1:19" x14ac:dyDescent="0.35">
      <c r="A746">
        <v>30</v>
      </c>
      <c r="B746" s="2" t="s">
        <v>39</v>
      </c>
      <c r="C746" t="s">
        <v>19</v>
      </c>
      <c r="D746" s="1" t="str">
        <v>Male</v>
      </c>
      <c r="E746">
        <v>3</v>
      </c>
      <c r="F746" t="s">
        <v>21</v>
      </c>
      <c r="G746" t="s">
        <v>10</v>
      </c>
      <c r="H746" t="s">
        <v>24</v>
      </c>
      <c r="I746">
        <v>14179</v>
      </c>
      <c r="J746" s="2" t="s">
        <v>42</v>
      </c>
      <c r="K746" s="1" t="str">
        <f t="shared" si="33"/>
        <v>Clean</v>
      </c>
      <c r="L746" s="1" t="b">
        <v>1</v>
      </c>
      <c r="M746" s="1" t="str">
        <f t="shared" si="34"/>
        <v>Valid</v>
      </c>
      <c r="N746">
        <v>39</v>
      </c>
      <c r="O746" s="1" t="str">
        <f t="shared" si="35"/>
        <v>Valid</v>
      </c>
      <c r="P746" t="s">
        <v>13</v>
      </c>
      <c r="Q746" s="1" t="str">
        <v>Furniture/Equipment</v>
      </c>
      <c r="R746">
        <v>1</v>
      </c>
      <c r="S746" s="2" t="s">
        <v>34</v>
      </c>
    </row>
    <row r="747" spans="1:19" x14ac:dyDescent="0.35">
      <c r="A747">
        <v>28</v>
      </c>
      <c r="B747" s="2" t="s">
        <v>38</v>
      </c>
      <c r="C747" t="s">
        <v>19</v>
      </c>
      <c r="D747" s="1" t="str">
        <v>Male</v>
      </c>
      <c r="E747">
        <v>1</v>
      </c>
      <c r="F747" t="s">
        <v>21</v>
      </c>
      <c r="G747" t="s">
        <v>24</v>
      </c>
      <c r="H747" t="s">
        <v>24</v>
      </c>
      <c r="I747">
        <v>1797</v>
      </c>
      <c r="J747" s="2" t="s">
        <v>41</v>
      </c>
      <c r="K747" s="1" t="str">
        <f t="shared" si="33"/>
        <v>Has Spaces</v>
      </c>
      <c r="L747" s="1" t="b">
        <v>1</v>
      </c>
      <c r="M747" s="1" t="str">
        <f t="shared" si="34"/>
        <v>Valid</v>
      </c>
      <c r="N747">
        <v>13</v>
      </c>
      <c r="O747" s="1" t="str">
        <f t="shared" si="35"/>
        <v>Valid</v>
      </c>
      <c r="P747" t="s">
        <v>15</v>
      </c>
      <c r="Q747" s="1" t="str">
        <v>Business</v>
      </c>
      <c r="R747">
        <v>1</v>
      </c>
      <c r="S747" s="2" t="s">
        <v>34</v>
      </c>
    </row>
    <row r="748" spans="1:19" x14ac:dyDescent="0.35">
      <c r="A748">
        <v>23</v>
      </c>
      <c r="B748" s="2" t="s">
        <v>38</v>
      </c>
      <c r="C748" t="s">
        <v>20</v>
      </c>
      <c r="D748" s="1" t="str">
        <v>Female</v>
      </c>
      <c r="E748">
        <v>2</v>
      </c>
      <c r="F748" t="s">
        <v>23</v>
      </c>
      <c r="G748" t="s">
        <v>24</v>
      </c>
      <c r="H748" t="s">
        <v>24</v>
      </c>
      <c r="I748">
        <v>2511</v>
      </c>
      <c r="J748" s="2" t="s">
        <v>43</v>
      </c>
      <c r="K748" s="1" t="str">
        <f t="shared" si="33"/>
        <v>Clean</v>
      </c>
      <c r="L748" s="1" t="b">
        <v>1</v>
      </c>
      <c r="M748" s="1" t="str">
        <f t="shared" si="34"/>
        <v>Valid</v>
      </c>
      <c r="N748">
        <v>15</v>
      </c>
      <c r="O748" s="1" t="str">
        <f t="shared" si="35"/>
        <v>Valid</v>
      </c>
      <c r="P748" t="s">
        <v>14</v>
      </c>
      <c r="Q748" s="1" t="str">
        <v>Car</v>
      </c>
      <c r="R748">
        <v>1</v>
      </c>
      <c r="S748" s="2" t="s">
        <v>34</v>
      </c>
    </row>
    <row r="749" spans="1:19" x14ac:dyDescent="0.35">
      <c r="A749">
        <v>37</v>
      </c>
      <c r="B749" s="2" t="s">
        <v>39</v>
      </c>
      <c r="C749" t="s">
        <v>20</v>
      </c>
      <c r="D749" s="1" t="str">
        <v>Female</v>
      </c>
      <c r="E749">
        <v>1</v>
      </c>
      <c r="F749" t="s">
        <v>21</v>
      </c>
      <c r="G749" t="s">
        <v>24</v>
      </c>
      <c r="H749" t="s">
        <v>24</v>
      </c>
      <c r="I749">
        <v>1274</v>
      </c>
      <c r="J749" s="2" t="s">
        <v>41</v>
      </c>
      <c r="K749" s="1" t="str">
        <f t="shared" si="33"/>
        <v>Has Spaces</v>
      </c>
      <c r="L749" s="1" t="b">
        <v>1</v>
      </c>
      <c r="M749" s="1" t="str">
        <f t="shared" si="34"/>
        <v>Valid</v>
      </c>
      <c r="N749">
        <v>12</v>
      </c>
      <c r="O749" s="1" t="str">
        <f t="shared" si="35"/>
        <v>Valid</v>
      </c>
      <c r="P749" t="s">
        <v>14</v>
      </c>
      <c r="Q749" s="1" t="str">
        <v>Car</v>
      </c>
      <c r="R749">
        <v>2</v>
      </c>
      <c r="S749" s="2" t="s">
        <v>35</v>
      </c>
    </row>
    <row r="750" spans="1:19" x14ac:dyDescent="0.35">
      <c r="A750">
        <v>26</v>
      </c>
      <c r="B750" s="2" t="s">
        <v>38</v>
      </c>
      <c r="C750" t="s">
        <v>19</v>
      </c>
      <c r="D750" s="1" t="str">
        <v>Male</v>
      </c>
      <c r="E750">
        <v>2</v>
      </c>
      <c r="F750" t="s">
        <v>21</v>
      </c>
      <c r="G750" t="s">
        <v>10</v>
      </c>
      <c r="H750" t="s">
        <v>10</v>
      </c>
      <c r="I750">
        <v>5248</v>
      </c>
      <c r="J750" s="2" t="s">
        <v>42</v>
      </c>
      <c r="K750" s="1" t="str">
        <f t="shared" si="33"/>
        <v>Clean</v>
      </c>
      <c r="L750" s="1" t="b">
        <v>1</v>
      </c>
      <c r="M750" s="1" t="str">
        <f t="shared" si="34"/>
        <v>Valid</v>
      </c>
      <c r="N750">
        <v>21</v>
      </c>
      <c r="O750" s="1" t="str">
        <f t="shared" si="35"/>
        <v>Valid</v>
      </c>
      <c r="P750" t="s">
        <v>14</v>
      </c>
      <c r="Q750" s="1" t="str">
        <v>Car</v>
      </c>
      <c r="R750">
        <v>1</v>
      </c>
      <c r="S750" s="2" t="s">
        <v>34</v>
      </c>
    </row>
    <row r="751" spans="1:19" x14ac:dyDescent="0.35">
      <c r="A751">
        <v>33</v>
      </c>
      <c r="B751" s="2" t="s">
        <v>39</v>
      </c>
      <c r="C751" t="s">
        <v>19</v>
      </c>
      <c r="D751" s="1" t="str">
        <v>Male</v>
      </c>
      <c r="E751">
        <v>2</v>
      </c>
      <c r="F751" t="s">
        <v>21</v>
      </c>
      <c r="G751" t="s">
        <v>24</v>
      </c>
      <c r="H751" t="s">
        <v>10</v>
      </c>
      <c r="I751">
        <v>3029</v>
      </c>
      <c r="J751" s="2" t="s">
        <v>43</v>
      </c>
      <c r="K751" s="1" t="str">
        <f t="shared" si="33"/>
        <v>Clean</v>
      </c>
      <c r="L751" s="1" t="b">
        <v>1</v>
      </c>
      <c r="M751" s="1" t="str">
        <f t="shared" si="34"/>
        <v>Valid</v>
      </c>
      <c r="N751">
        <v>15</v>
      </c>
      <c r="O751" s="1" t="str">
        <f t="shared" si="35"/>
        <v>Valid</v>
      </c>
      <c r="P751" t="s">
        <v>14</v>
      </c>
      <c r="Q751" s="1" t="str">
        <v>Car</v>
      </c>
      <c r="R751">
        <v>1</v>
      </c>
      <c r="S751" s="2" t="s">
        <v>34</v>
      </c>
    </row>
    <row r="752" spans="1:19" x14ac:dyDescent="0.35">
      <c r="A752">
        <v>49</v>
      </c>
      <c r="B752" s="2" t="s">
        <v>39</v>
      </c>
      <c r="C752" t="s">
        <v>20</v>
      </c>
      <c r="D752" s="1" t="str">
        <v>Female</v>
      </c>
      <c r="E752">
        <v>2</v>
      </c>
      <c r="F752" t="s">
        <v>21</v>
      </c>
      <c r="G752" t="s">
        <v>24</v>
      </c>
      <c r="H752" t="s">
        <v>24</v>
      </c>
      <c r="I752">
        <v>428</v>
      </c>
      <c r="J752" s="2" t="s">
        <v>41</v>
      </c>
      <c r="K752" s="1" t="str">
        <f t="shared" si="33"/>
        <v>Has Spaces</v>
      </c>
      <c r="L752" s="1" t="b">
        <v>1</v>
      </c>
      <c r="M752" s="1" t="str">
        <f t="shared" si="34"/>
        <v>Valid</v>
      </c>
      <c r="N752">
        <v>6</v>
      </c>
      <c r="O752" s="1" t="str">
        <f t="shared" si="35"/>
        <v>Valid</v>
      </c>
      <c r="P752" t="s">
        <v>13</v>
      </c>
      <c r="Q752" s="1" t="str">
        <v>Furniture/Equipment</v>
      </c>
      <c r="R752">
        <v>1</v>
      </c>
      <c r="S752" s="2" t="s">
        <v>34</v>
      </c>
    </row>
    <row r="753" spans="1:19" x14ac:dyDescent="0.35">
      <c r="A753">
        <v>23</v>
      </c>
      <c r="B753" s="2" t="s">
        <v>38</v>
      </c>
      <c r="C753" t="s">
        <v>20</v>
      </c>
      <c r="D753" s="1" t="str">
        <v>Female</v>
      </c>
      <c r="E753">
        <v>1</v>
      </c>
      <c r="F753" t="s">
        <v>21</v>
      </c>
      <c r="G753" t="s">
        <v>24</v>
      </c>
      <c r="H753" t="s">
        <v>24</v>
      </c>
      <c r="I753">
        <v>976</v>
      </c>
      <c r="J753" s="2" t="s">
        <v>41</v>
      </c>
      <c r="K753" s="1" t="str">
        <f t="shared" si="33"/>
        <v>Has Spaces</v>
      </c>
      <c r="L753" s="1" t="b">
        <v>1</v>
      </c>
      <c r="M753" s="1" t="str">
        <f t="shared" si="34"/>
        <v>Valid</v>
      </c>
      <c r="N753">
        <v>18</v>
      </c>
      <c r="O753" s="1" t="str">
        <f t="shared" si="35"/>
        <v>Valid</v>
      </c>
      <c r="P753" t="s">
        <v>14</v>
      </c>
      <c r="Q753" s="1" t="str">
        <v>Car</v>
      </c>
      <c r="R753">
        <v>2</v>
      </c>
      <c r="S753" s="2" t="s">
        <v>35</v>
      </c>
    </row>
    <row r="754" spans="1:19" x14ac:dyDescent="0.35">
      <c r="A754">
        <v>23</v>
      </c>
      <c r="B754" s="2" t="s">
        <v>38</v>
      </c>
      <c r="C754" t="s">
        <v>20</v>
      </c>
      <c r="D754" s="1" t="str">
        <v>Female</v>
      </c>
      <c r="E754">
        <v>1</v>
      </c>
      <c r="F754" t="s">
        <v>23</v>
      </c>
      <c r="G754" t="s">
        <v>27</v>
      </c>
      <c r="H754" t="s">
        <v>27</v>
      </c>
      <c r="I754">
        <v>841</v>
      </c>
      <c r="J754" s="2" t="s">
        <v>41</v>
      </c>
      <c r="K754" s="1" t="str">
        <f t="shared" si="33"/>
        <v>Has Spaces</v>
      </c>
      <c r="L754" s="1" t="b">
        <v>1</v>
      </c>
      <c r="M754" s="1" t="str">
        <f t="shared" si="34"/>
        <v>Valid</v>
      </c>
      <c r="N754">
        <v>12</v>
      </c>
      <c r="O754" s="1" t="str">
        <f t="shared" si="35"/>
        <v>Valid</v>
      </c>
      <c r="P754" t="s">
        <v>15</v>
      </c>
      <c r="Q754" s="1" t="str">
        <v>Business</v>
      </c>
      <c r="R754">
        <v>1</v>
      </c>
      <c r="S754" s="2" t="s">
        <v>34</v>
      </c>
    </row>
    <row r="755" spans="1:19" x14ac:dyDescent="0.35">
      <c r="A755">
        <v>25</v>
      </c>
      <c r="B755" s="2" t="s">
        <v>38</v>
      </c>
      <c r="C755" t="s">
        <v>20</v>
      </c>
      <c r="D755" s="1" t="str">
        <v>Female</v>
      </c>
      <c r="E755">
        <v>2</v>
      </c>
      <c r="F755" t="s">
        <v>21</v>
      </c>
      <c r="G755" t="s">
        <v>24</v>
      </c>
      <c r="H755" t="s">
        <v>10</v>
      </c>
      <c r="I755">
        <v>5771</v>
      </c>
      <c r="J755" s="2" t="s">
        <v>42</v>
      </c>
      <c r="K755" s="1" t="str">
        <f t="shared" si="33"/>
        <v>Clean</v>
      </c>
      <c r="L755" s="1" t="b">
        <v>1</v>
      </c>
      <c r="M755" s="1" t="str">
        <f t="shared" si="34"/>
        <v>Valid</v>
      </c>
      <c r="N755">
        <v>30</v>
      </c>
      <c r="O755" s="1" t="str">
        <f t="shared" si="35"/>
        <v>Valid</v>
      </c>
      <c r="P755" t="s">
        <v>11</v>
      </c>
      <c r="Q755" s="1" t="str">
        <v>Radio/Tv</v>
      </c>
      <c r="R755">
        <v>1</v>
      </c>
      <c r="S755" s="2" t="s">
        <v>34</v>
      </c>
    </row>
    <row r="756" spans="1:19" x14ac:dyDescent="0.35">
      <c r="A756">
        <v>55</v>
      </c>
      <c r="B756" s="2" t="s">
        <v>37</v>
      </c>
      <c r="C756" t="s">
        <v>19</v>
      </c>
      <c r="D756" s="1" t="str">
        <v>Male</v>
      </c>
      <c r="E756">
        <v>2</v>
      </c>
      <c r="F756" t="s">
        <v>22</v>
      </c>
      <c r="G756" t="s">
        <v>26</v>
      </c>
      <c r="H756" t="s">
        <v>10</v>
      </c>
      <c r="I756">
        <v>1555</v>
      </c>
      <c r="J756" s="2" t="s">
        <v>41</v>
      </c>
      <c r="K756" s="1" t="str">
        <f t="shared" si="33"/>
        <v>Has Spaces</v>
      </c>
      <c r="L756" s="1" t="b">
        <v>1</v>
      </c>
      <c r="M756" s="1" t="str">
        <f t="shared" si="34"/>
        <v>Valid</v>
      </c>
      <c r="N756">
        <v>12</v>
      </c>
      <c r="O756" s="1" t="str">
        <f t="shared" si="35"/>
        <v>Valid</v>
      </c>
      <c r="P756" t="s">
        <v>17</v>
      </c>
      <c r="Q756" s="1" t="str">
        <v>Repairs</v>
      </c>
      <c r="R756">
        <v>2</v>
      </c>
      <c r="S756" s="2" t="s">
        <v>35</v>
      </c>
    </row>
    <row r="757" spans="1:19" x14ac:dyDescent="0.35">
      <c r="A757">
        <v>32</v>
      </c>
      <c r="B757" s="2" t="s">
        <v>39</v>
      </c>
      <c r="C757" t="s">
        <v>20</v>
      </c>
      <c r="D757" s="1" t="str">
        <v>Female</v>
      </c>
      <c r="E757">
        <v>2</v>
      </c>
      <c r="F757" t="s">
        <v>23</v>
      </c>
      <c r="G757" t="s">
        <v>10</v>
      </c>
      <c r="H757" t="s">
        <v>24</v>
      </c>
      <c r="I757">
        <v>1285</v>
      </c>
      <c r="J757" s="2" t="s">
        <v>41</v>
      </c>
      <c r="K757" s="1" t="str">
        <f t="shared" si="33"/>
        <v>Has Spaces</v>
      </c>
      <c r="L757" s="1" t="b">
        <v>1</v>
      </c>
      <c r="M757" s="1" t="str">
        <f t="shared" si="34"/>
        <v>Valid</v>
      </c>
      <c r="N757">
        <v>24</v>
      </c>
      <c r="O757" s="1" t="str">
        <f t="shared" si="35"/>
        <v>Valid</v>
      </c>
      <c r="P757" t="s">
        <v>14</v>
      </c>
      <c r="Q757" s="1" t="str">
        <v>Car</v>
      </c>
      <c r="R757">
        <v>2</v>
      </c>
      <c r="S757" s="2" t="s">
        <v>35</v>
      </c>
    </row>
    <row r="758" spans="1:19" x14ac:dyDescent="0.35">
      <c r="A758">
        <v>74</v>
      </c>
      <c r="B758" s="2" t="s">
        <v>37</v>
      </c>
      <c r="C758" t="s">
        <v>19</v>
      </c>
      <c r="D758" s="1" t="str">
        <v>Male</v>
      </c>
      <c r="E758">
        <v>0</v>
      </c>
      <c r="F758" t="s">
        <v>21</v>
      </c>
      <c r="G758" t="s">
        <v>24</v>
      </c>
      <c r="H758" t="s">
        <v>26</v>
      </c>
      <c r="I758">
        <v>1299</v>
      </c>
      <c r="J758" s="2" t="s">
        <v>41</v>
      </c>
      <c r="K758" s="1" t="str">
        <f t="shared" si="33"/>
        <v>Has Spaces</v>
      </c>
      <c r="L758" s="1" t="b">
        <v>1</v>
      </c>
      <c r="M758" s="1" t="str">
        <f t="shared" si="34"/>
        <v>Valid</v>
      </c>
      <c r="N758">
        <v>6</v>
      </c>
      <c r="O758" s="1" t="str">
        <f t="shared" si="35"/>
        <v>Valid</v>
      </c>
      <c r="P758" t="s">
        <v>14</v>
      </c>
      <c r="Q758" s="1" t="str">
        <v>Car</v>
      </c>
      <c r="R758">
        <v>1</v>
      </c>
      <c r="S758" s="2" t="s">
        <v>34</v>
      </c>
    </row>
    <row r="759" spans="1:19" x14ac:dyDescent="0.35">
      <c r="A759">
        <v>39</v>
      </c>
      <c r="B759" s="2" t="s">
        <v>39</v>
      </c>
      <c r="C759" t="s">
        <v>19</v>
      </c>
      <c r="D759" s="1" t="str">
        <v>Male</v>
      </c>
      <c r="E759">
        <v>2</v>
      </c>
      <c r="F759" t="s">
        <v>22</v>
      </c>
      <c r="G759" t="s">
        <v>10</v>
      </c>
      <c r="H759" t="s">
        <v>26</v>
      </c>
      <c r="I759">
        <v>1271</v>
      </c>
      <c r="J759" s="2" t="s">
        <v>41</v>
      </c>
      <c r="K759" s="1" t="str">
        <f t="shared" si="33"/>
        <v>Has Spaces</v>
      </c>
      <c r="L759" s="1" t="b">
        <v>1</v>
      </c>
      <c r="M759" s="1" t="str">
        <f t="shared" si="34"/>
        <v>Valid</v>
      </c>
      <c r="N759">
        <v>15</v>
      </c>
      <c r="O759" s="1" t="str">
        <f t="shared" si="35"/>
        <v>Valid</v>
      </c>
      <c r="P759" t="s">
        <v>11</v>
      </c>
      <c r="Q759" s="1" t="str">
        <v>Radio/Tv</v>
      </c>
      <c r="R759">
        <v>2</v>
      </c>
      <c r="S759" s="2" t="s">
        <v>35</v>
      </c>
    </row>
    <row r="760" spans="1:19" x14ac:dyDescent="0.35">
      <c r="A760">
        <v>31</v>
      </c>
      <c r="B760" s="2" t="s">
        <v>39</v>
      </c>
      <c r="C760" t="s">
        <v>19</v>
      </c>
      <c r="D760" s="1" t="str">
        <v>Male</v>
      </c>
      <c r="E760">
        <v>2</v>
      </c>
      <c r="F760" t="s">
        <v>21</v>
      </c>
      <c r="G760" t="s">
        <v>24</v>
      </c>
      <c r="H760" t="s">
        <v>10</v>
      </c>
      <c r="I760">
        <v>1393</v>
      </c>
      <c r="J760" s="2" t="s">
        <v>41</v>
      </c>
      <c r="K760" s="1" t="str">
        <f t="shared" si="33"/>
        <v>Has Spaces</v>
      </c>
      <c r="L760" s="1" t="b">
        <v>1</v>
      </c>
      <c r="M760" s="1" t="str">
        <f t="shared" si="34"/>
        <v>Valid</v>
      </c>
      <c r="N760">
        <v>24</v>
      </c>
      <c r="O760" s="1" t="str">
        <f t="shared" si="35"/>
        <v>Valid</v>
      </c>
      <c r="P760" t="s">
        <v>14</v>
      </c>
      <c r="Q760" s="1" t="str">
        <v>Car</v>
      </c>
      <c r="R760">
        <v>1</v>
      </c>
      <c r="S760" s="2" t="s">
        <v>34</v>
      </c>
    </row>
    <row r="761" spans="1:19" x14ac:dyDescent="0.35">
      <c r="A761">
        <v>35</v>
      </c>
      <c r="B761" s="2" t="s">
        <v>39</v>
      </c>
      <c r="C761" t="s">
        <v>19</v>
      </c>
      <c r="D761" s="1" t="str">
        <v>Male</v>
      </c>
      <c r="E761">
        <v>2</v>
      </c>
      <c r="F761" t="s">
        <v>21</v>
      </c>
      <c r="G761" t="s">
        <v>24</v>
      </c>
      <c r="H761" t="s">
        <v>24</v>
      </c>
      <c r="I761">
        <v>691</v>
      </c>
      <c r="J761" s="2" t="s">
        <v>41</v>
      </c>
      <c r="K761" s="1" t="str">
        <f t="shared" si="33"/>
        <v>Has Spaces</v>
      </c>
      <c r="L761" s="1" t="b">
        <v>1</v>
      </c>
      <c r="M761" s="1" t="str">
        <f t="shared" si="34"/>
        <v>Valid</v>
      </c>
      <c r="N761">
        <v>12</v>
      </c>
      <c r="O761" s="1" t="str">
        <f t="shared" si="35"/>
        <v>Valid</v>
      </c>
      <c r="P761" t="s">
        <v>14</v>
      </c>
      <c r="Q761" s="1" t="str">
        <v>Car</v>
      </c>
      <c r="R761">
        <v>2</v>
      </c>
      <c r="S761" s="2" t="s">
        <v>35</v>
      </c>
    </row>
    <row r="762" spans="1:19" x14ac:dyDescent="0.35">
      <c r="A762">
        <v>59</v>
      </c>
      <c r="B762" s="2" t="s">
        <v>37</v>
      </c>
      <c r="C762" t="s">
        <v>20</v>
      </c>
      <c r="D762" s="1" t="str">
        <v>Female</v>
      </c>
      <c r="E762">
        <v>2</v>
      </c>
      <c r="F762" t="s">
        <v>21</v>
      </c>
      <c r="G762" t="s">
        <v>10</v>
      </c>
      <c r="H762" t="s">
        <v>10</v>
      </c>
      <c r="I762">
        <v>5045</v>
      </c>
      <c r="J762" s="2" t="s">
        <v>42</v>
      </c>
      <c r="K762" s="1" t="str">
        <f t="shared" si="33"/>
        <v>Clean</v>
      </c>
      <c r="L762" s="1" t="b">
        <v>1</v>
      </c>
      <c r="M762" s="1" t="str">
        <f t="shared" si="34"/>
        <v>Valid</v>
      </c>
      <c r="N762">
        <v>15</v>
      </c>
      <c r="O762" s="1" t="str">
        <f t="shared" si="35"/>
        <v>Valid</v>
      </c>
      <c r="P762" t="s">
        <v>14</v>
      </c>
      <c r="Q762" s="1" t="str">
        <v>Car</v>
      </c>
      <c r="R762">
        <v>1</v>
      </c>
      <c r="S762" s="2" t="s">
        <v>34</v>
      </c>
    </row>
    <row r="763" spans="1:19" x14ac:dyDescent="0.35">
      <c r="A763">
        <v>24</v>
      </c>
      <c r="B763" s="2" t="s">
        <v>38</v>
      </c>
      <c r="C763" t="s">
        <v>20</v>
      </c>
      <c r="D763" s="1" t="str">
        <v>Female</v>
      </c>
      <c r="E763">
        <v>2</v>
      </c>
      <c r="F763" t="s">
        <v>23</v>
      </c>
      <c r="G763" t="s">
        <v>24</v>
      </c>
      <c r="H763" t="s">
        <v>24</v>
      </c>
      <c r="I763">
        <v>2124</v>
      </c>
      <c r="J763" s="2" t="s">
        <v>43</v>
      </c>
      <c r="K763" s="1" t="str">
        <f t="shared" si="33"/>
        <v>Clean</v>
      </c>
      <c r="L763" s="1" t="b">
        <v>1</v>
      </c>
      <c r="M763" s="1" t="str">
        <f t="shared" si="34"/>
        <v>Valid</v>
      </c>
      <c r="N763">
        <v>18</v>
      </c>
      <c r="O763" s="1" t="str">
        <f t="shared" si="35"/>
        <v>Valid</v>
      </c>
      <c r="P763" t="s">
        <v>13</v>
      </c>
      <c r="Q763" s="1" t="str">
        <v>Furniture/Equipment</v>
      </c>
      <c r="R763">
        <v>2</v>
      </c>
      <c r="S763" s="2" t="s">
        <v>35</v>
      </c>
    </row>
    <row r="764" spans="1:19" x14ac:dyDescent="0.35">
      <c r="A764">
        <v>24</v>
      </c>
      <c r="B764" s="2" t="s">
        <v>38</v>
      </c>
      <c r="C764" t="s">
        <v>19</v>
      </c>
      <c r="D764" s="1" t="str">
        <v>Male</v>
      </c>
      <c r="E764">
        <v>1</v>
      </c>
      <c r="F764" t="s">
        <v>21</v>
      </c>
      <c r="G764" t="s">
        <v>24</v>
      </c>
      <c r="H764" t="s">
        <v>24</v>
      </c>
      <c r="I764">
        <v>2214</v>
      </c>
      <c r="J764" s="2" t="s">
        <v>43</v>
      </c>
      <c r="K764" s="1" t="str">
        <f t="shared" si="33"/>
        <v>Clean</v>
      </c>
      <c r="L764" s="1" t="b">
        <v>1</v>
      </c>
      <c r="M764" s="1" t="str">
        <f t="shared" si="34"/>
        <v>Valid</v>
      </c>
      <c r="N764">
        <v>12</v>
      </c>
      <c r="O764" s="1" t="str">
        <f t="shared" si="35"/>
        <v>Valid</v>
      </c>
      <c r="P764" t="s">
        <v>11</v>
      </c>
      <c r="Q764" s="1" t="str">
        <v>Radio/Tv</v>
      </c>
      <c r="R764">
        <v>1</v>
      </c>
      <c r="S764" s="2" t="s">
        <v>34</v>
      </c>
    </row>
    <row r="765" spans="1:19" x14ac:dyDescent="0.35">
      <c r="A765">
        <v>30</v>
      </c>
      <c r="B765" s="2" t="s">
        <v>39</v>
      </c>
      <c r="C765" t="s">
        <v>19</v>
      </c>
      <c r="D765" s="1" t="str">
        <v>Male</v>
      </c>
      <c r="E765">
        <v>3</v>
      </c>
      <c r="F765" t="s">
        <v>22</v>
      </c>
      <c r="G765" t="s">
        <v>10</v>
      </c>
      <c r="H765" t="s">
        <v>10</v>
      </c>
      <c r="I765">
        <v>12680</v>
      </c>
      <c r="J765" s="2" t="s">
        <v>42</v>
      </c>
      <c r="K765" s="1" t="str">
        <f t="shared" si="33"/>
        <v>Clean</v>
      </c>
      <c r="L765" s="1" t="b">
        <v>1</v>
      </c>
      <c r="M765" s="1" t="str">
        <f t="shared" si="34"/>
        <v>Valid</v>
      </c>
      <c r="N765">
        <v>21</v>
      </c>
      <c r="O765" s="1" t="str">
        <f t="shared" si="35"/>
        <v>Valid</v>
      </c>
      <c r="P765" t="s">
        <v>14</v>
      </c>
      <c r="Q765" s="1" t="str">
        <v>Car</v>
      </c>
      <c r="R765">
        <v>2</v>
      </c>
      <c r="S765" s="2" t="s">
        <v>35</v>
      </c>
    </row>
    <row r="766" spans="1:19" x14ac:dyDescent="0.35">
      <c r="A766">
        <v>27</v>
      </c>
      <c r="B766" s="2" t="s">
        <v>38</v>
      </c>
      <c r="C766" t="s">
        <v>19</v>
      </c>
      <c r="D766" s="1" t="str">
        <v>Male</v>
      </c>
      <c r="E766">
        <v>2</v>
      </c>
      <c r="F766" t="s">
        <v>21</v>
      </c>
      <c r="G766" t="s">
        <v>27</v>
      </c>
      <c r="H766" t="s">
        <v>10</v>
      </c>
      <c r="I766">
        <v>2463</v>
      </c>
      <c r="J766" s="2" t="s">
        <v>43</v>
      </c>
      <c r="K766" s="1" t="str">
        <f t="shared" si="33"/>
        <v>Clean</v>
      </c>
      <c r="L766" s="1" t="b">
        <v>1</v>
      </c>
      <c r="M766" s="1" t="str">
        <f t="shared" si="34"/>
        <v>Valid</v>
      </c>
      <c r="N766">
        <v>24</v>
      </c>
      <c r="O766" s="1" t="str">
        <f t="shared" si="35"/>
        <v>Valid</v>
      </c>
      <c r="P766" t="s">
        <v>14</v>
      </c>
      <c r="Q766" s="1" t="str">
        <v>Car</v>
      </c>
      <c r="R766">
        <v>1</v>
      </c>
      <c r="S766" s="2" t="s">
        <v>34</v>
      </c>
    </row>
    <row r="767" spans="1:19" x14ac:dyDescent="0.35">
      <c r="A767">
        <v>40</v>
      </c>
      <c r="B767" s="2" t="s">
        <v>39</v>
      </c>
      <c r="C767" t="s">
        <v>19</v>
      </c>
      <c r="D767" s="1" t="str">
        <v>Male</v>
      </c>
      <c r="E767">
        <v>1</v>
      </c>
      <c r="F767" t="s">
        <v>21</v>
      </c>
      <c r="G767" t="s">
        <v>24</v>
      </c>
      <c r="H767" t="s">
        <v>27</v>
      </c>
      <c r="I767">
        <v>1155</v>
      </c>
      <c r="J767" s="2" t="s">
        <v>41</v>
      </c>
      <c r="K767" s="1" t="str">
        <f t="shared" si="33"/>
        <v>Has Spaces</v>
      </c>
      <c r="L767" s="1" t="b">
        <v>1</v>
      </c>
      <c r="M767" s="1" t="str">
        <f t="shared" si="34"/>
        <v>Valid</v>
      </c>
      <c r="N767">
        <v>12</v>
      </c>
      <c r="O767" s="1" t="str">
        <f t="shared" si="35"/>
        <v>Valid</v>
      </c>
      <c r="P767" t="s">
        <v>11</v>
      </c>
      <c r="Q767" s="1" t="str">
        <v>Radio/Tv</v>
      </c>
      <c r="R767">
        <v>1</v>
      </c>
      <c r="S767" s="2" t="s">
        <v>34</v>
      </c>
    </row>
    <row r="768" spans="1:19" x14ac:dyDescent="0.35">
      <c r="A768">
        <v>31</v>
      </c>
      <c r="B768" s="2" t="s">
        <v>39</v>
      </c>
      <c r="C768" t="s">
        <v>19</v>
      </c>
      <c r="D768" s="1" t="str">
        <v>Male</v>
      </c>
      <c r="E768">
        <v>1</v>
      </c>
      <c r="F768" t="s">
        <v>21</v>
      </c>
      <c r="G768" t="s">
        <v>24</v>
      </c>
      <c r="H768" t="s">
        <v>24</v>
      </c>
      <c r="I768">
        <v>3108</v>
      </c>
      <c r="J768" s="2" t="s">
        <v>43</v>
      </c>
      <c r="K768" s="1" t="str">
        <f t="shared" si="33"/>
        <v>Clean</v>
      </c>
      <c r="L768" s="1" t="b">
        <v>1</v>
      </c>
      <c r="M768" s="1" t="str">
        <f t="shared" si="34"/>
        <v>Valid</v>
      </c>
      <c r="N768">
        <v>30</v>
      </c>
      <c r="O768" s="1" t="str">
        <f t="shared" si="35"/>
        <v>Valid</v>
      </c>
      <c r="P768" t="s">
        <v>13</v>
      </c>
      <c r="Q768" s="1" t="str">
        <v>Furniture/Equipment</v>
      </c>
      <c r="R768">
        <v>2</v>
      </c>
      <c r="S768" s="2" t="s">
        <v>35</v>
      </c>
    </row>
    <row r="769" spans="1:19" x14ac:dyDescent="0.35">
      <c r="A769">
        <v>31</v>
      </c>
      <c r="B769" s="2" t="s">
        <v>39</v>
      </c>
      <c r="C769" t="s">
        <v>20</v>
      </c>
      <c r="D769" s="1" t="str">
        <v>Female</v>
      </c>
      <c r="E769">
        <v>2</v>
      </c>
      <c r="F769" t="s">
        <v>23</v>
      </c>
      <c r="G769" t="s">
        <v>10</v>
      </c>
      <c r="H769" t="s">
        <v>10</v>
      </c>
      <c r="I769">
        <v>2901</v>
      </c>
      <c r="J769" s="2" t="s">
        <v>43</v>
      </c>
      <c r="K769" s="1" t="str">
        <f t="shared" si="33"/>
        <v>Clean</v>
      </c>
      <c r="L769" s="1" t="b">
        <v>1</v>
      </c>
      <c r="M769" s="1" t="str">
        <f t="shared" si="34"/>
        <v>Valid</v>
      </c>
      <c r="N769">
        <v>10</v>
      </c>
      <c r="O769" s="1" t="str">
        <f t="shared" si="35"/>
        <v>Valid</v>
      </c>
      <c r="P769" t="s">
        <v>14</v>
      </c>
      <c r="Q769" s="1" t="str">
        <v>Car</v>
      </c>
      <c r="R769">
        <v>1</v>
      </c>
      <c r="S769" s="2" t="s">
        <v>34</v>
      </c>
    </row>
    <row r="770" spans="1:19" x14ac:dyDescent="0.35">
      <c r="A770">
        <v>28</v>
      </c>
      <c r="B770" s="2" t="s">
        <v>38</v>
      </c>
      <c r="C770" t="s">
        <v>19</v>
      </c>
      <c r="D770" s="1" t="str">
        <v>Male</v>
      </c>
      <c r="E770">
        <v>2</v>
      </c>
      <c r="F770" t="s">
        <v>23</v>
      </c>
      <c r="G770" t="s">
        <v>24</v>
      </c>
      <c r="H770" t="s">
        <v>27</v>
      </c>
      <c r="I770">
        <v>3617</v>
      </c>
      <c r="J770" s="2" t="s">
        <v>43</v>
      </c>
      <c r="K770" s="1" t="str">
        <f t="shared" si="33"/>
        <v>Clean</v>
      </c>
      <c r="L770" s="1" t="b">
        <v>1</v>
      </c>
      <c r="M770" s="1" t="str">
        <f t="shared" si="34"/>
        <v>Valid</v>
      </c>
      <c r="N770">
        <v>12</v>
      </c>
      <c r="O770" s="1" t="str">
        <f t="shared" si="35"/>
        <v>Valid</v>
      </c>
      <c r="P770" t="s">
        <v>13</v>
      </c>
      <c r="Q770" s="1" t="str">
        <v>Furniture/Equipment</v>
      </c>
      <c r="R770">
        <v>1</v>
      </c>
      <c r="S770" s="2" t="s">
        <v>34</v>
      </c>
    </row>
    <row r="771" spans="1:19" x14ac:dyDescent="0.35">
      <c r="A771">
        <v>63</v>
      </c>
      <c r="B771" s="2" t="s">
        <v>37</v>
      </c>
      <c r="C771" t="s">
        <v>19</v>
      </c>
      <c r="D771" s="1" t="str">
        <v>Male</v>
      </c>
      <c r="E771">
        <v>1</v>
      </c>
      <c r="F771" t="s">
        <v>21</v>
      </c>
      <c r="G771" t="s">
        <v>24</v>
      </c>
      <c r="H771" t="s">
        <v>10</v>
      </c>
      <c r="I771">
        <v>1655</v>
      </c>
      <c r="J771" s="2" t="s">
        <v>41</v>
      </c>
      <c r="K771" s="1" t="str">
        <f t="shared" ref="K771:K834" si="36">IF(J771=TRIM(J771),"Clean","Has Spaces")</f>
        <v>Has Spaces</v>
      </c>
      <c r="L771" s="1" t="b">
        <v>1</v>
      </c>
      <c r="M771" s="1" t="str">
        <f t="shared" ref="M771:M834" si="37">IF(I771&gt;0,"Valid", "Invalid")</f>
        <v>Valid</v>
      </c>
      <c r="N771">
        <v>12</v>
      </c>
      <c r="O771" s="1" t="str">
        <f t="shared" ref="O771:O834" si="38">IF(N771&lt;=0,"invalid", "Valid")</f>
        <v>Valid</v>
      </c>
      <c r="P771" t="s">
        <v>11</v>
      </c>
      <c r="Q771" s="1" t="str">
        <v>Radio/Tv</v>
      </c>
      <c r="R771">
        <v>1</v>
      </c>
      <c r="S771" s="2" t="s">
        <v>34</v>
      </c>
    </row>
    <row r="772" spans="1:19" x14ac:dyDescent="0.35">
      <c r="A772">
        <v>26</v>
      </c>
      <c r="B772" s="2" t="s">
        <v>38</v>
      </c>
      <c r="C772" t="s">
        <v>20</v>
      </c>
      <c r="D772" s="1" t="str">
        <v>Female</v>
      </c>
      <c r="E772">
        <v>2</v>
      </c>
      <c r="F772" t="s">
        <v>23</v>
      </c>
      <c r="G772" t="s">
        <v>10</v>
      </c>
      <c r="H772" t="s">
        <v>24</v>
      </c>
      <c r="I772">
        <v>2812</v>
      </c>
      <c r="J772" s="2" t="s">
        <v>43</v>
      </c>
      <c r="K772" s="1" t="str">
        <f t="shared" si="36"/>
        <v>Clean</v>
      </c>
      <c r="L772" s="1" t="b">
        <v>1</v>
      </c>
      <c r="M772" s="1" t="str">
        <f t="shared" si="37"/>
        <v>Valid</v>
      </c>
      <c r="N772">
        <v>24</v>
      </c>
      <c r="O772" s="1" t="str">
        <f t="shared" si="38"/>
        <v>Valid</v>
      </c>
      <c r="P772" t="s">
        <v>14</v>
      </c>
      <c r="Q772" s="1" t="str">
        <v>Car</v>
      </c>
      <c r="R772">
        <v>1</v>
      </c>
      <c r="S772" s="2" t="s">
        <v>34</v>
      </c>
    </row>
    <row r="773" spans="1:19" x14ac:dyDescent="0.35">
      <c r="A773">
        <v>25</v>
      </c>
      <c r="B773" s="2" t="s">
        <v>38</v>
      </c>
      <c r="C773" t="s">
        <v>20</v>
      </c>
      <c r="D773" s="1" t="str">
        <v>Female</v>
      </c>
      <c r="E773">
        <v>3</v>
      </c>
      <c r="F773" t="s">
        <v>21</v>
      </c>
      <c r="G773" t="s">
        <v>24</v>
      </c>
      <c r="H773" t="s">
        <v>24</v>
      </c>
      <c r="I773">
        <v>8065</v>
      </c>
      <c r="J773" s="2" t="s">
        <v>42</v>
      </c>
      <c r="K773" s="1" t="str">
        <f t="shared" si="36"/>
        <v>Clean</v>
      </c>
      <c r="L773" s="1" t="b">
        <v>1</v>
      </c>
      <c r="M773" s="1" t="str">
        <f t="shared" si="37"/>
        <v>Valid</v>
      </c>
      <c r="N773">
        <v>36</v>
      </c>
      <c r="O773" s="1" t="str">
        <f t="shared" si="38"/>
        <v>Valid</v>
      </c>
      <c r="P773" t="s">
        <v>12</v>
      </c>
      <c r="Q773" s="1" t="str">
        <v>Education</v>
      </c>
      <c r="R773">
        <v>2</v>
      </c>
      <c r="S773" s="2" t="s">
        <v>35</v>
      </c>
    </row>
    <row r="774" spans="1:19" x14ac:dyDescent="0.35">
      <c r="A774">
        <v>36</v>
      </c>
      <c r="B774" s="2" t="s">
        <v>39</v>
      </c>
      <c r="C774" t="s">
        <v>19</v>
      </c>
      <c r="D774" s="1" t="str">
        <v>Male</v>
      </c>
      <c r="E774">
        <v>3</v>
      </c>
      <c r="F774" t="s">
        <v>21</v>
      </c>
      <c r="G774" t="s">
        <v>24</v>
      </c>
      <c r="H774" t="s">
        <v>10</v>
      </c>
      <c r="I774">
        <v>3275</v>
      </c>
      <c r="J774" s="2" t="s">
        <v>43</v>
      </c>
      <c r="K774" s="1" t="str">
        <f t="shared" si="36"/>
        <v>Clean</v>
      </c>
      <c r="L774" s="1" t="b">
        <v>1</v>
      </c>
      <c r="M774" s="1" t="str">
        <f t="shared" si="37"/>
        <v>Valid</v>
      </c>
      <c r="N774">
        <v>21</v>
      </c>
      <c r="O774" s="1" t="str">
        <f t="shared" si="38"/>
        <v>Valid</v>
      </c>
      <c r="P774" t="s">
        <v>14</v>
      </c>
      <c r="Q774" s="1" t="str">
        <v>Car</v>
      </c>
      <c r="R774">
        <v>1</v>
      </c>
      <c r="S774" s="2" t="s">
        <v>34</v>
      </c>
    </row>
    <row r="775" spans="1:19" x14ac:dyDescent="0.35">
      <c r="A775">
        <v>52</v>
      </c>
      <c r="B775" s="2" t="s">
        <v>37</v>
      </c>
      <c r="C775" t="s">
        <v>19</v>
      </c>
      <c r="D775" s="1" t="str">
        <v>Male</v>
      </c>
      <c r="E775">
        <v>2</v>
      </c>
      <c r="F775" t="s">
        <v>21</v>
      </c>
      <c r="G775" t="s">
        <v>27</v>
      </c>
      <c r="H775" t="s">
        <v>10</v>
      </c>
      <c r="I775">
        <v>2223</v>
      </c>
      <c r="J775" s="2" t="s">
        <v>43</v>
      </c>
      <c r="K775" s="1" t="str">
        <f t="shared" si="36"/>
        <v>Clean</v>
      </c>
      <c r="L775" s="1" t="b">
        <v>1</v>
      </c>
      <c r="M775" s="1" t="str">
        <f t="shared" si="37"/>
        <v>Valid</v>
      </c>
      <c r="N775">
        <v>24</v>
      </c>
      <c r="O775" s="1" t="str">
        <f t="shared" si="38"/>
        <v>Valid</v>
      </c>
      <c r="P775" t="s">
        <v>11</v>
      </c>
      <c r="Q775" s="1" t="str">
        <v>Radio/Tv</v>
      </c>
      <c r="R775">
        <v>1</v>
      </c>
      <c r="S775" s="2" t="s">
        <v>34</v>
      </c>
    </row>
    <row r="776" spans="1:19" x14ac:dyDescent="0.35">
      <c r="A776">
        <v>66</v>
      </c>
      <c r="B776" s="2" t="s">
        <v>37</v>
      </c>
      <c r="C776" t="s">
        <v>19</v>
      </c>
      <c r="D776" s="1" t="str">
        <v>Male</v>
      </c>
      <c r="E776">
        <v>0</v>
      </c>
      <c r="F776" t="s">
        <v>22</v>
      </c>
      <c r="G776" t="s">
        <v>25</v>
      </c>
      <c r="H776" t="s">
        <v>26</v>
      </c>
      <c r="I776">
        <v>1480</v>
      </c>
      <c r="J776" s="2" t="s">
        <v>41</v>
      </c>
      <c r="K776" s="1" t="str">
        <f t="shared" si="36"/>
        <v>Has Spaces</v>
      </c>
      <c r="L776" s="1" t="b">
        <v>1</v>
      </c>
      <c r="M776" s="1" t="str">
        <f t="shared" si="37"/>
        <v>Valid</v>
      </c>
      <c r="N776">
        <v>12</v>
      </c>
      <c r="O776" s="1" t="str">
        <f t="shared" si="38"/>
        <v>Valid</v>
      </c>
      <c r="P776" t="s">
        <v>14</v>
      </c>
      <c r="Q776" s="1" t="str">
        <v>Car</v>
      </c>
      <c r="R776">
        <v>1</v>
      </c>
      <c r="S776" s="2" t="s">
        <v>34</v>
      </c>
    </row>
    <row r="777" spans="1:19" x14ac:dyDescent="0.35">
      <c r="A777">
        <v>25</v>
      </c>
      <c r="B777" s="2" t="s">
        <v>38</v>
      </c>
      <c r="C777" t="s">
        <v>20</v>
      </c>
      <c r="D777" s="1" t="str">
        <v>Female</v>
      </c>
      <c r="E777">
        <v>2</v>
      </c>
      <c r="F777" t="s">
        <v>23</v>
      </c>
      <c r="G777" t="s">
        <v>10</v>
      </c>
      <c r="H777" t="s">
        <v>24</v>
      </c>
      <c r="I777">
        <v>1371</v>
      </c>
      <c r="J777" s="2" t="s">
        <v>41</v>
      </c>
      <c r="K777" s="1" t="str">
        <f t="shared" si="36"/>
        <v>Has Spaces</v>
      </c>
      <c r="L777" s="1" t="b">
        <v>1</v>
      </c>
      <c r="M777" s="1" t="str">
        <f t="shared" si="37"/>
        <v>Valid</v>
      </c>
      <c r="N777">
        <v>24</v>
      </c>
      <c r="O777" s="1" t="str">
        <f t="shared" si="38"/>
        <v>Valid</v>
      </c>
      <c r="P777" t="s">
        <v>14</v>
      </c>
      <c r="Q777" s="1" t="str">
        <v>Car</v>
      </c>
      <c r="R777">
        <v>2</v>
      </c>
      <c r="S777" s="2" t="s">
        <v>35</v>
      </c>
    </row>
    <row r="778" spans="1:19" x14ac:dyDescent="0.35">
      <c r="A778">
        <v>37</v>
      </c>
      <c r="B778" s="2" t="s">
        <v>39</v>
      </c>
      <c r="C778" t="s">
        <v>19</v>
      </c>
      <c r="D778" s="1" t="str">
        <v>Male</v>
      </c>
      <c r="E778">
        <v>2</v>
      </c>
      <c r="F778" t="s">
        <v>21</v>
      </c>
      <c r="G778" t="s">
        <v>24</v>
      </c>
      <c r="H778" t="s">
        <v>10</v>
      </c>
      <c r="I778">
        <v>3535</v>
      </c>
      <c r="J778" s="2" t="s">
        <v>43</v>
      </c>
      <c r="K778" s="1" t="str">
        <f t="shared" si="36"/>
        <v>Clean</v>
      </c>
      <c r="L778" s="1" t="b">
        <v>1</v>
      </c>
      <c r="M778" s="1" t="str">
        <f t="shared" si="37"/>
        <v>Valid</v>
      </c>
      <c r="N778">
        <v>36</v>
      </c>
      <c r="O778" s="1" t="str">
        <f t="shared" si="38"/>
        <v>Valid</v>
      </c>
      <c r="P778" t="s">
        <v>14</v>
      </c>
      <c r="Q778" s="1" t="str">
        <v>Car</v>
      </c>
      <c r="R778">
        <v>1</v>
      </c>
      <c r="S778" s="2" t="s">
        <v>34</v>
      </c>
    </row>
    <row r="779" spans="1:19" x14ac:dyDescent="0.35">
      <c r="A779">
        <v>25</v>
      </c>
      <c r="B779" s="2" t="s">
        <v>38</v>
      </c>
      <c r="C779" t="s">
        <v>20</v>
      </c>
      <c r="D779" s="1" t="str">
        <v>Female</v>
      </c>
      <c r="E779">
        <v>2</v>
      </c>
      <c r="F779" t="s">
        <v>21</v>
      </c>
      <c r="G779" t="s">
        <v>24</v>
      </c>
      <c r="H779" t="s">
        <v>24</v>
      </c>
      <c r="I779">
        <v>3509</v>
      </c>
      <c r="J779" s="2" t="s">
        <v>43</v>
      </c>
      <c r="K779" s="1" t="str">
        <f t="shared" si="36"/>
        <v>Clean</v>
      </c>
      <c r="L779" s="1" t="b">
        <v>1</v>
      </c>
      <c r="M779" s="1" t="str">
        <f t="shared" si="37"/>
        <v>Valid</v>
      </c>
      <c r="N779">
        <v>18</v>
      </c>
      <c r="O779" s="1" t="str">
        <f t="shared" si="38"/>
        <v>Valid</v>
      </c>
      <c r="P779" t="s">
        <v>11</v>
      </c>
      <c r="Q779" s="1" t="str">
        <v>Radio/Tv</v>
      </c>
      <c r="R779">
        <v>1</v>
      </c>
      <c r="S779" s="2" t="s">
        <v>34</v>
      </c>
    </row>
    <row r="780" spans="1:19" x14ac:dyDescent="0.35">
      <c r="A780">
        <v>38</v>
      </c>
      <c r="B780" s="2" t="s">
        <v>39</v>
      </c>
      <c r="C780" t="s">
        <v>19</v>
      </c>
      <c r="D780" s="1" t="str">
        <v>Male</v>
      </c>
      <c r="E780">
        <v>3</v>
      </c>
      <c r="F780" t="s">
        <v>21</v>
      </c>
      <c r="G780" t="s">
        <v>26</v>
      </c>
      <c r="H780" t="s">
        <v>10</v>
      </c>
      <c r="I780">
        <v>5711</v>
      </c>
      <c r="J780" s="2" t="s">
        <v>42</v>
      </c>
      <c r="K780" s="1" t="str">
        <f t="shared" si="36"/>
        <v>Clean</v>
      </c>
      <c r="L780" s="1" t="b">
        <v>1</v>
      </c>
      <c r="M780" s="1" t="str">
        <f t="shared" si="37"/>
        <v>Valid</v>
      </c>
      <c r="N780">
        <v>36</v>
      </c>
      <c r="O780" s="1" t="str">
        <f t="shared" si="38"/>
        <v>Valid</v>
      </c>
      <c r="P780" t="s">
        <v>14</v>
      </c>
      <c r="Q780" s="1" t="str">
        <v>Car</v>
      </c>
      <c r="R780">
        <v>1</v>
      </c>
      <c r="S780" s="2" t="s">
        <v>34</v>
      </c>
    </row>
    <row r="781" spans="1:19" x14ac:dyDescent="0.35">
      <c r="A781">
        <v>67</v>
      </c>
      <c r="B781" s="2" t="s">
        <v>37</v>
      </c>
      <c r="C781" t="s">
        <v>20</v>
      </c>
      <c r="D781" s="1" t="str">
        <v>Female</v>
      </c>
      <c r="E781">
        <v>2</v>
      </c>
      <c r="F781" t="s">
        <v>21</v>
      </c>
      <c r="G781" t="s">
        <v>24</v>
      </c>
      <c r="H781" t="s">
        <v>27</v>
      </c>
      <c r="I781">
        <v>3872</v>
      </c>
      <c r="J781" s="2" t="s">
        <v>43</v>
      </c>
      <c r="K781" s="1" t="str">
        <f t="shared" si="36"/>
        <v>Clean</v>
      </c>
      <c r="L781" s="1" t="b">
        <v>1</v>
      </c>
      <c r="M781" s="1" t="str">
        <f t="shared" si="37"/>
        <v>Valid</v>
      </c>
      <c r="N781">
        <v>18</v>
      </c>
      <c r="O781" s="1" t="str">
        <f t="shared" si="38"/>
        <v>Valid</v>
      </c>
      <c r="P781" t="s">
        <v>17</v>
      </c>
      <c r="Q781" s="1" t="str">
        <v>Repairs</v>
      </c>
      <c r="R781">
        <v>1</v>
      </c>
      <c r="S781" s="2" t="s">
        <v>34</v>
      </c>
    </row>
    <row r="782" spans="1:19" x14ac:dyDescent="0.35">
      <c r="A782">
        <v>25</v>
      </c>
      <c r="B782" s="2" t="s">
        <v>38</v>
      </c>
      <c r="C782" t="s">
        <v>19</v>
      </c>
      <c r="D782" s="1" t="str">
        <v>Male</v>
      </c>
      <c r="E782">
        <v>2</v>
      </c>
      <c r="F782" t="s">
        <v>21</v>
      </c>
      <c r="G782" t="s">
        <v>24</v>
      </c>
      <c r="H782" t="s">
        <v>27</v>
      </c>
      <c r="I782">
        <v>4933</v>
      </c>
      <c r="J782" s="2" t="s">
        <v>43</v>
      </c>
      <c r="K782" s="1" t="str">
        <f t="shared" si="36"/>
        <v>Clean</v>
      </c>
      <c r="L782" s="1" t="b">
        <v>1</v>
      </c>
      <c r="M782" s="1" t="str">
        <f t="shared" si="37"/>
        <v>Valid</v>
      </c>
      <c r="N782">
        <v>39</v>
      </c>
      <c r="O782" s="1" t="str">
        <f t="shared" si="38"/>
        <v>Valid</v>
      </c>
      <c r="P782" t="s">
        <v>11</v>
      </c>
      <c r="Q782" s="1" t="str">
        <v>Radio/Tv</v>
      </c>
      <c r="R782">
        <v>2</v>
      </c>
      <c r="S782" s="2" t="s">
        <v>35</v>
      </c>
    </row>
    <row r="783" spans="1:19" x14ac:dyDescent="0.35">
      <c r="A783">
        <v>60</v>
      </c>
      <c r="B783" s="2" t="s">
        <v>37</v>
      </c>
      <c r="C783" t="s">
        <v>19</v>
      </c>
      <c r="D783" s="1" t="str">
        <v>Male</v>
      </c>
      <c r="E783">
        <v>2</v>
      </c>
      <c r="F783" t="s">
        <v>21</v>
      </c>
      <c r="G783" t="s">
        <v>26</v>
      </c>
      <c r="H783" t="s">
        <v>10</v>
      </c>
      <c r="I783">
        <v>1940</v>
      </c>
      <c r="J783" s="2" t="s">
        <v>41</v>
      </c>
      <c r="K783" s="1" t="str">
        <f t="shared" si="36"/>
        <v>Has Spaces</v>
      </c>
      <c r="L783" s="1" t="b">
        <v>1</v>
      </c>
      <c r="M783" s="1" t="str">
        <f t="shared" si="37"/>
        <v>Valid</v>
      </c>
      <c r="N783">
        <v>24</v>
      </c>
      <c r="O783" s="1" t="str">
        <f t="shared" si="38"/>
        <v>Valid</v>
      </c>
      <c r="P783" t="s">
        <v>14</v>
      </c>
      <c r="Q783" s="1" t="str">
        <v>Car</v>
      </c>
      <c r="R783">
        <v>1</v>
      </c>
      <c r="S783" s="2" t="s">
        <v>34</v>
      </c>
    </row>
    <row r="784" spans="1:19" x14ac:dyDescent="0.35">
      <c r="A784">
        <v>31</v>
      </c>
      <c r="B784" s="2" t="s">
        <v>39</v>
      </c>
      <c r="C784" t="s">
        <v>19</v>
      </c>
      <c r="D784" s="1" t="str">
        <v>Male</v>
      </c>
      <c r="E784">
        <v>1</v>
      </c>
      <c r="F784" t="s">
        <v>21</v>
      </c>
      <c r="G784" t="s">
        <v>24</v>
      </c>
      <c r="H784" t="s">
        <v>27</v>
      </c>
      <c r="I784">
        <v>1410</v>
      </c>
      <c r="J784" s="2" t="s">
        <v>41</v>
      </c>
      <c r="K784" s="1" t="str">
        <f t="shared" si="36"/>
        <v>Has Spaces</v>
      </c>
      <c r="L784" s="1" t="b">
        <v>1</v>
      </c>
      <c r="M784" s="1" t="str">
        <f t="shared" si="37"/>
        <v>Valid</v>
      </c>
      <c r="N784">
        <v>12</v>
      </c>
      <c r="O784" s="1" t="str">
        <f t="shared" si="38"/>
        <v>Valid</v>
      </c>
      <c r="P784" t="s">
        <v>12</v>
      </c>
      <c r="Q784" s="1" t="str">
        <v>Education</v>
      </c>
      <c r="R784">
        <v>1</v>
      </c>
      <c r="S784" s="2" t="s">
        <v>34</v>
      </c>
    </row>
    <row r="785" spans="1:19" x14ac:dyDescent="0.35">
      <c r="A785">
        <v>23</v>
      </c>
      <c r="B785" s="2" t="s">
        <v>38</v>
      </c>
      <c r="C785" t="s">
        <v>20</v>
      </c>
      <c r="D785" s="1" t="str">
        <v>Female</v>
      </c>
      <c r="E785">
        <v>1</v>
      </c>
      <c r="F785" t="s">
        <v>21</v>
      </c>
      <c r="G785" t="s">
        <v>27</v>
      </c>
      <c r="H785" t="s">
        <v>27</v>
      </c>
      <c r="I785">
        <v>836</v>
      </c>
      <c r="J785" s="2" t="s">
        <v>41</v>
      </c>
      <c r="K785" s="1" t="str">
        <f t="shared" si="36"/>
        <v>Has Spaces</v>
      </c>
      <c r="L785" s="1" t="b">
        <v>1</v>
      </c>
      <c r="M785" s="1" t="str">
        <f t="shared" si="37"/>
        <v>Valid</v>
      </c>
      <c r="N785">
        <v>12</v>
      </c>
      <c r="O785" s="1" t="str">
        <f t="shared" si="38"/>
        <v>Valid</v>
      </c>
      <c r="P785" t="s">
        <v>14</v>
      </c>
      <c r="Q785" s="1" t="str">
        <v>Car</v>
      </c>
      <c r="R785">
        <v>2</v>
      </c>
      <c r="S785" s="2" t="s">
        <v>35</v>
      </c>
    </row>
    <row r="786" spans="1:19" x14ac:dyDescent="0.35">
      <c r="A786">
        <v>60</v>
      </c>
      <c r="B786" s="2" t="s">
        <v>37</v>
      </c>
      <c r="C786" t="s">
        <v>19</v>
      </c>
      <c r="D786" s="1" t="str">
        <v>Male</v>
      </c>
      <c r="E786">
        <v>3</v>
      </c>
      <c r="F786" t="s">
        <v>21</v>
      </c>
      <c r="G786" t="s">
        <v>10</v>
      </c>
      <c r="H786" t="s">
        <v>27</v>
      </c>
      <c r="I786">
        <v>6468</v>
      </c>
      <c r="J786" s="2" t="s">
        <v>42</v>
      </c>
      <c r="K786" s="1" t="str">
        <f t="shared" si="36"/>
        <v>Clean</v>
      </c>
      <c r="L786" s="1" t="b">
        <v>1</v>
      </c>
      <c r="M786" s="1" t="str">
        <f t="shared" si="37"/>
        <v>Valid</v>
      </c>
      <c r="N786">
        <v>20</v>
      </c>
      <c r="O786" s="1" t="str">
        <f t="shared" si="38"/>
        <v>Valid</v>
      </c>
      <c r="P786" t="s">
        <v>14</v>
      </c>
      <c r="Q786" s="1" t="str">
        <v>Car</v>
      </c>
      <c r="R786">
        <v>1</v>
      </c>
      <c r="S786" s="2" t="s">
        <v>34</v>
      </c>
    </row>
    <row r="787" spans="1:19" x14ac:dyDescent="0.35">
      <c r="A787">
        <v>35</v>
      </c>
      <c r="B787" s="2" t="s">
        <v>39</v>
      </c>
      <c r="C787" t="s">
        <v>19</v>
      </c>
      <c r="D787" s="1" t="str">
        <v>Male</v>
      </c>
      <c r="E787">
        <v>1</v>
      </c>
      <c r="F787" t="s">
        <v>21</v>
      </c>
      <c r="G787" t="s">
        <v>26</v>
      </c>
      <c r="H787" t="s">
        <v>27</v>
      </c>
      <c r="I787">
        <v>1941</v>
      </c>
      <c r="J787" s="2" t="s">
        <v>41</v>
      </c>
      <c r="K787" s="1" t="str">
        <f t="shared" si="36"/>
        <v>Has Spaces</v>
      </c>
      <c r="L787" s="1" t="b">
        <v>1</v>
      </c>
      <c r="M787" s="1" t="str">
        <f t="shared" si="37"/>
        <v>Valid</v>
      </c>
      <c r="N787">
        <v>18</v>
      </c>
      <c r="O787" s="1" t="str">
        <f t="shared" si="38"/>
        <v>Valid</v>
      </c>
      <c r="P787" t="s">
        <v>15</v>
      </c>
      <c r="Q787" s="1" t="str">
        <v>Business</v>
      </c>
      <c r="R787">
        <v>1</v>
      </c>
      <c r="S787" s="2" t="s">
        <v>34</v>
      </c>
    </row>
    <row r="788" spans="1:19" x14ac:dyDescent="0.35">
      <c r="A788">
        <v>40</v>
      </c>
      <c r="B788" s="2" t="s">
        <v>39</v>
      </c>
      <c r="C788" t="s">
        <v>19</v>
      </c>
      <c r="D788" s="1" t="str">
        <v>Male</v>
      </c>
      <c r="E788">
        <v>2</v>
      </c>
      <c r="F788" t="s">
        <v>21</v>
      </c>
      <c r="G788" t="s">
        <v>25</v>
      </c>
      <c r="H788" t="s">
        <v>10</v>
      </c>
      <c r="I788">
        <v>2675</v>
      </c>
      <c r="J788" s="2" t="s">
        <v>43</v>
      </c>
      <c r="K788" s="1" t="str">
        <f t="shared" si="36"/>
        <v>Clean</v>
      </c>
      <c r="L788" s="1" t="b">
        <v>1</v>
      </c>
      <c r="M788" s="1" t="str">
        <f t="shared" si="37"/>
        <v>Valid</v>
      </c>
      <c r="N788">
        <v>22</v>
      </c>
      <c r="O788" s="1" t="str">
        <f t="shared" si="38"/>
        <v>Valid</v>
      </c>
      <c r="P788" t="s">
        <v>11</v>
      </c>
      <c r="Q788" s="1" t="str">
        <v>Radio/Tv</v>
      </c>
      <c r="R788">
        <v>1</v>
      </c>
      <c r="S788" s="2" t="s">
        <v>34</v>
      </c>
    </row>
    <row r="789" spans="1:19" x14ac:dyDescent="0.35">
      <c r="A789">
        <v>38</v>
      </c>
      <c r="B789" s="2" t="s">
        <v>39</v>
      </c>
      <c r="C789" t="s">
        <v>19</v>
      </c>
      <c r="D789" s="1" t="str">
        <v>Male</v>
      </c>
      <c r="E789">
        <v>2</v>
      </c>
      <c r="F789" t="s">
        <v>21</v>
      </c>
      <c r="G789" t="s">
        <v>10</v>
      </c>
      <c r="H789" t="s">
        <v>10</v>
      </c>
      <c r="I789">
        <v>2751</v>
      </c>
      <c r="J789" s="2" t="s">
        <v>43</v>
      </c>
      <c r="K789" s="1" t="str">
        <f t="shared" si="36"/>
        <v>Clean</v>
      </c>
      <c r="L789" s="1" t="b">
        <v>1</v>
      </c>
      <c r="M789" s="1" t="str">
        <f t="shared" si="37"/>
        <v>Valid</v>
      </c>
      <c r="N789">
        <v>48</v>
      </c>
      <c r="O789" s="1" t="str">
        <f t="shared" si="38"/>
        <v>Valid</v>
      </c>
      <c r="P789" t="s">
        <v>14</v>
      </c>
      <c r="Q789" s="1" t="str">
        <v>Car</v>
      </c>
      <c r="R789">
        <v>1</v>
      </c>
      <c r="S789" s="2" t="s">
        <v>34</v>
      </c>
    </row>
    <row r="790" spans="1:19" x14ac:dyDescent="0.35">
      <c r="A790">
        <v>50</v>
      </c>
      <c r="B790" s="2" t="s">
        <v>37</v>
      </c>
      <c r="C790" t="s">
        <v>19</v>
      </c>
      <c r="D790" s="1" t="str">
        <v>Male</v>
      </c>
      <c r="E790">
        <v>2</v>
      </c>
      <c r="F790" t="s">
        <v>22</v>
      </c>
      <c r="G790" t="s">
        <v>24</v>
      </c>
      <c r="H790" t="s">
        <v>27</v>
      </c>
      <c r="I790">
        <v>6224</v>
      </c>
      <c r="J790" s="2" t="s">
        <v>42</v>
      </c>
      <c r="K790" s="1" t="str">
        <f t="shared" si="36"/>
        <v>Clean</v>
      </c>
      <c r="L790" s="1" t="b">
        <v>1</v>
      </c>
      <c r="M790" s="1" t="str">
        <f t="shared" si="37"/>
        <v>Valid</v>
      </c>
      <c r="N790">
        <v>48</v>
      </c>
      <c r="O790" s="1" t="str">
        <f t="shared" si="38"/>
        <v>Valid</v>
      </c>
      <c r="P790" t="s">
        <v>12</v>
      </c>
      <c r="Q790" s="1" t="str">
        <v>Education</v>
      </c>
      <c r="R790">
        <v>2</v>
      </c>
      <c r="S790" s="2" t="s">
        <v>35</v>
      </c>
    </row>
    <row r="791" spans="1:19" x14ac:dyDescent="0.35">
      <c r="A791">
        <v>27</v>
      </c>
      <c r="B791" s="2" t="s">
        <v>38</v>
      </c>
      <c r="C791" t="s">
        <v>19</v>
      </c>
      <c r="D791" s="1" t="str">
        <v>Male</v>
      </c>
      <c r="E791">
        <v>2</v>
      </c>
      <c r="F791" t="s">
        <v>21</v>
      </c>
      <c r="G791" t="s">
        <v>24</v>
      </c>
      <c r="H791" t="s">
        <v>24</v>
      </c>
      <c r="I791">
        <v>5998</v>
      </c>
      <c r="J791" s="2" t="s">
        <v>42</v>
      </c>
      <c r="K791" s="1" t="str">
        <f t="shared" si="36"/>
        <v>Clean</v>
      </c>
      <c r="L791" s="1" t="b">
        <v>1</v>
      </c>
      <c r="M791" s="1" t="str">
        <f t="shared" si="37"/>
        <v>Valid</v>
      </c>
      <c r="N791">
        <v>40</v>
      </c>
      <c r="O791" s="1" t="str">
        <f t="shared" si="38"/>
        <v>Valid</v>
      </c>
      <c r="P791" t="s">
        <v>12</v>
      </c>
      <c r="Q791" s="1" t="str">
        <v>Education</v>
      </c>
      <c r="R791">
        <v>2</v>
      </c>
      <c r="S791" s="2" t="s">
        <v>35</v>
      </c>
    </row>
    <row r="792" spans="1:19" x14ac:dyDescent="0.35">
      <c r="A792">
        <v>39</v>
      </c>
      <c r="B792" s="2" t="s">
        <v>39</v>
      </c>
      <c r="C792" t="s">
        <v>20</v>
      </c>
      <c r="D792" s="1" t="str">
        <v>Female</v>
      </c>
      <c r="E792">
        <v>2</v>
      </c>
      <c r="F792" t="s">
        <v>21</v>
      </c>
      <c r="G792" t="s">
        <v>24</v>
      </c>
      <c r="H792" t="s">
        <v>27</v>
      </c>
      <c r="I792">
        <v>1188</v>
      </c>
      <c r="J792" s="2" t="s">
        <v>41</v>
      </c>
      <c r="K792" s="1" t="str">
        <f t="shared" si="36"/>
        <v>Has Spaces</v>
      </c>
      <c r="L792" s="1" t="b">
        <v>1</v>
      </c>
      <c r="M792" s="1" t="str">
        <f t="shared" si="37"/>
        <v>Valid</v>
      </c>
      <c r="N792">
        <v>21</v>
      </c>
      <c r="O792" s="1" t="str">
        <f t="shared" si="38"/>
        <v>Valid</v>
      </c>
      <c r="P792" t="s">
        <v>15</v>
      </c>
      <c r="Q792" s="1" t="str">
        <v>Business</v>
      </c>
      <c r="R792">
        <v>2</v>
      </c>
      <c r="S792" s="2" t="s">
        <v>35</v>
      </c>
    </row>
    <row r="793" spans="1:19" x14ac:dyDescent="0.35">
      <c r="A793">
        <v>41</v>
      </c>
      <c r="B793" s="2" t="s">
        <v>39</v>
      </c>
      <c r="C793" t="s">
        <v>19</v>
      </c>
      <c r="D793" s="1" t="str">
        <v>Male</v>
      </c>
      <c r="E793">
        <v>3</v>
      </c>
      <c r="F793" t="s">
        <v>21</v>
      </c>
      <c r="G793" t="s">
        <v>10</v>
      </c>
      <c r="H793" t="s">
        <v>10</v>
      </c>
      <c r="I793">
        <v>6313</v>
      </c>
      <c r="J793" s="2" t="s">
        <v>42</v>
      </c>
      <c r="K793" s="1" t="str">
        <f t="shared" si="36"/>
        <v>Clean</v>
      </c>
      <c r="L793" s="1" t="b">
        <v>1</v>
      </c>
      <c r="M793" s="1" t="str">
        <f t="shared" si="37"/>
        <v>Valid</v>
      </c>
      <c r="N793">
        <v>24</v>
      </c>
      <c r="O793" s="1" t="str">
        <f t="shared" si="38"/>
        <v>Valid</v>
      </c>
      <c r="P793" t="s">
        <v>14</v>
      </c>
      <c r="Q793" s="1" t="str">
        <v>Car</v>
      </c>
      <c r="R793">
        <v>1</v>
      </c>
      <c r="S793" s="2" t="s">
        <v>34</v>
      </c>
    </row>
    <row r="794" spans="1:19" x14ac:dyDescent="0.35">
      <c r="A794">
        <v>27</v>
      </c>
      <c r="B794" s="2" t="s">
        <v>38</v>
      </c>
      <c r="C794" t="s">
        <v>19</v>
      </c>
      <c r="D794" s="1" t="str">
        <v>Male</v>
      </c>
      <c r="E794">
        <v>2</v>
      </c>
      <c r="F794" t="s">
        <v>21</v>
      </c>
      <c r="G794" t="s">
        <v>10</v>
      </c>
      <c r="H794" t="s">
        <v>10</v>
      </c>
      <c r="I794">
        <v>1221</v>
      </c>
      <c r="J794" s="2" t="s">
        <v>41</v>
      </c>
      <c r="K794" s="1" t="str">
        <f t="shared" si="36"/>
        <v>Has Spaces</v>
      </c>
      <c r="L794" s="1" t="b">
        <v>1</v>
      </c>
      <c r="M794" s="1" t="str">
        <f t="shared" si="37"/>
        <v>Valid</v>
      </c>
      <c r="N794">
        <v>6</v>
      </c>
      <c r="O794" s="1" t="str">
        <f t="shared" si="38"/>
        <v>Valid</v>
      </c>
      <c r="P794" t="s">
        <v>13</v>
      </c>
      <c r="Q794" s="1" t="str">
        <v>Furniture/Equipment</v>
      </c>
      <c r="R794">
        <v>1</v>
      </c>
      <c r="S794" s="2" t="s">
        <v>34</v>
      </c>
    </row>
    <row r="795" spans="1:19" x14ac:dyDescent="0.35">
      <c r="A795">
        <v>51</v>
      </c>
      <c r="B795" s="2" t="s">
        <v>37</v>
      </c>
      <c r="C795" t="s">
        <v>19</v>
      </c>
      <c r="D795" s="1" t="str">
        <v>Male</v>
      </c>
      <c r="E795">
        <v>2</v>
      </c>
      <c r="F795" t="s">
        <v>22</v>
      </c>
      <c r="G795" t="s">
        <v>24</v>
      </c>
      <c r="H795" t="s">
        <v>26</v>
      </c>
      <c r="I795">
        <v>2892</v>
      </c>
      <c r="J795" s="2" t="s">
        <v>43</v>
      </c>
      <c r="K795" s="1" t="str">
        <f t="shared" si="36"/>
        <v>Clean</v>
      </c>
      <c r="L795" s="1" t="b">
        <v>1</v>
      </c>
      <c r="M795" s="1" t="str">
        <f t="shared" si="37"/>
        <v>Valid</v>
      </c>
      <c r="N795">
        <v>24</v>
      </c>
      <c r="O795" s="1" t="str">
        <f t="shared" si="38"/>
        <v>Valid</v>
      </c>
      <c r="P795" t="s">
        <v>13</v>
      </c>
      <c r="Q795" s="1" t="str">
        <v>Furniture/Equipment</v>
      </c>
      <c r="R795">
        <v>1</v>
      </c>
      <c r="S795" s="2" t="s">
        <v>34</v>
      </c>
    </row>
    <row r="796" spans="1:19" x14ac:dyDescent="0.35">
      <c r="A796">
        <v>32</v>
      </c>
      <c r="B796" s="2" t="s">
        <v>39</v>
      </c>
      <c r="C796" t="s">
        <v>19</v>
      </c>
      <c r="D796" s="1" t="str">
        <v>Male</v>
      </c>
      <c r="E796">
        <v>2</v>
      </c>
      <c r="F796" t="s">
        <v>23</v>
      </c>
      <c r="G796" t="s">
        <v>25</v>
      </c>
      <c r="H796" t="s">
        <v>10</v>
      </c>
      <c r="I796">
        <v>3062</v>
      </c>
      <c r="J796" s="2" t="s">
        <v>43</v>
      </c>
      <c r="K796" s="1" t="str">
        <f t="shared" si="36"/>
        <v>Clean</v>
      </c>
      <c r="L796" s="1" t="b">
        <v>1</v>
      </c>
      <c r="M796" s="1" t="str">
        <f t="shared" si="37"/>
        <v>Valid</v>
      </c>
      <c r="N796">
        <v>24</v>
      </c>
      <c r="O796" s="1" t="str">
        <f t="shared" si="38"/>
        <v>Valid</v>
      </c>
      <c r="P796" t="s">
        <v>13</v>
      </c>
      <c r="Q796" s="1" t="str">
        <v>Furniture/Equipment</v>
      </c>
      <c r="R796">
        <v>1</v>
      </c>
      <c r="S796" s="2" t="s">
        <v>34</v>
      </c>
    </row>
    <row r="797" spans="1:19" x14ac:dyDescent="0.35">
      <c r="A797">
        <v>22</v>
      </c>
      <c r="B797" s="2" t="s">
        <v>38</v>
      </c>
      <c r="C797" t="s">
        <v>20</v>
      </c>
      <c r="D797" s="1" t="str">
        <v>Female</v>
      </c>
      <c r="E797">
        <v>2</v>
      </c>
      <c r="F797" t="s">
        <v>23</v>
      </c>
      <c r="G797" t="s">
        <v>27</v>
      </c>
      <c r="H797" t="s">
        <v>10</v>
      </c>
      <c r="I797">
        <v>2301</v>
      </c>
      <c r="J797" s="2" t="s">
        <v>43</v>
      </c>
      <c r="K797" s="1" t="str">
        <f t="shared" si="36"/>
        <v>Clean</v>
      </c>
      <c r="L797" s="1" t="b">
        <v>1</v>
      </c>
      <c r="M797" s="1" t="str">
        <f t="shared" si="37"/>
        <v>Valid</v>
      </c>
      <c r="N797">
        <v>9</v>
      </c>
      <c r="O797" s="1" t="str">
        <f t="shared" si="38"/>
        <v>Valid</v>
      </c>
      <c r="P797" t="s">
        <v>13</v>
      </c>
      <c r="Q797" s="1" t="str">
        <v>Furniture/Equipment</v>
      </c>
      <c r="R797">
        <v>1</v>
      </c>
      <c r="S797" s="2" t="s">
        <v>34</v>
      </c>
    </row>
    <row r="798" spans="1:19" x14ac:dyDescent="0.35">
      <c r="A798">
        <v>51</v>
      </c>
      <c r="B798" s="2" t="s">
        <v>37</v>
      </c>
      <c r="C798" t="s">
        <v>19</v>
      </c>
      <c r="D798" s="1" t="str">
        <v>Male</v>
      </c>
      <c r="E798">
        <v>2</v>
      </c>
      <c r="F798" t="s">
        <v>22</v>
      </c>
      <c r="G798" t="s">
        <v>10</v>
      </c>
      <c r="H798" t="s">
        <v>24</v>
      </c>
      <c r="I798">
        <v>7511</v>
      </c>
      <c r="J798" s="2" t="s">
        <v>42</v>
      </c>
      <c r="K798" s="1" t="str">
        <f t="shared" si="36"/>
        <v>Clean</v>
      </c>
      <c r="L798" s="1" t="b">
        <v>1</v>
      </c>
      <c r="M798" s="1" t="str">
        <f t="shared" si="37"/>
        <v>Valid</v>
      </c>
      <c r="N798">
        <v>18</v>
      </c>
      <c r="O798" s="1" t="str">
        <f t="shared" si="38"/>
        <v>Valid</v>
      </c>
      <c r="P798" t="s">
        <v>14</v>
      </c>
      <c r="Q798" s="1" t="str">
        <v>Car</v>
      </c>
      <c r="R798">
        <v>2</v>
      </c>
      <c r="S798" s="2" t="s">
        <v>35</v>
      </c>
    </row>
    <row r="799" spans="1:19" x14ac:dyDescent="0.35">
      <c r="A799">
        <v>22</v>
      </c>
      <c r="B799" s="2" t="s">
        <v>38</v>
      </c>
      <c r="C799" t="s">
        <v>20</v>
      </c>
      <c r="D799" s="1" t="str">
        <v>Female</v>
      </c>
      <c r="E799">
        <v>1</v>
      </c>
      <c r="F799" t="s">
        <v>23</v>
      </c>
      <c r="G799" t="s">
        <v>24</v>
      </c>
      <c r="H799" t="s">
        <v>10</v>
      </c>
      <c r="I799">
        <v>1258</v>
      </c>
      <c r="J799" s="2" t="s">
        <v>41</v>
      </c>
      <c r="K799" s="1" t="str">
        <f t="shared" si="36"/>
        <v>Has Spaces</v>
      </c>
      <c r="L799" s="1" t="b">
        <v>1</v>
      </c>
      <c r="M799" s="1" t="str">
        <f t="shared" si="37"/>
        <v>Valid</v>
      </c>
      <c r="N799">
        <v>12</v>
      </c>
      <c r="O799" s="1" t="str">
        <f t="shared" si="38"/>
        <v>Valid</v>
      </c>
      <c r="P799" t="s">
        <v>13</v>
      </c>
      <c r="Q799" s="1" t="str">
        <v>Furniture/Equipment</v>
      </c>
      <c r="R799">
        <v>1</v>
      </c>
      <c r="S799" s="2" t="s">
        <v>34</v>
      </c>
    </row>
    <row r="800" spans="1:19" x14ac:dyDescent="0.35">
      <c r="A800">
        <v>54</v>
      </c>
      <c r="B800" s="2" t="s">
        <v>37</v>
      </c>
      <c r="C800" t="s">
        <v>19</v>
      </c>
      <c r="D800" s="1" t="str">
        <v>Male</v>
      </c>
      <c r="E800">
        <v>2</v>
      </c>
      <c r="F800" t="s">
        <v>21</v>
      </c>
      <c r="G800" t="s">
        <v>10</v>
      </c>
      <c r="H800" t="s">
        <v>10</v>
      </c>
      <c r="I800">
        <v>717</v>
      </c>
      <c r="J800" s="2" t="s">
        <v>41</v>
      </c>
      <c r="K800" s="1" t="str">
        <f t="shared" si="36"/>
        <v>Has Spaces</v>
      </c>
      <c r="L800" s="1" t="b">
        <v>1</v>
      </c>
      <c r="M800" s="1" t="str">
        <f t="shared" si="37"/>
        <v>Valid</v>
      </c>
      <c r="N800">
        <v>24</v>
      </c>
      <c r="O800" s="1" t="str">
        <f t="shared" si="38"/>
        <v>Valid</v>
      </c>
      <c r="P800" t="s">
        <v>14</v>
      </c>
      <c r="Q800" s="1" t="str">
        <v>Car</v>
      </c>
      <c r="R800">
        <v>1</v>
      </c>
      <c r="S800" s="2" t="s">
        <v>34</v>
      </c>
    </row>
    <row r="801" spans="1:19" x14ac:dyDescent="0.35">
      <c r="A801">
        <v>35</v>
      </c>
      <c r="B801" s="2" t="s">
        <v>39</v>
      </c>
      <c r="C801" t="s">
        <v>19</v>
      </c>
      <c r="D801" s="1" t="str">
        <v>Male</v>
      </c>
      <c r="E801">
        <v>0</v>
      </c>
      <c r="F801" t="s">
        <v>21</v>
      </c>
      <c r="G801" t="s">
        <v>10</v>
      </c>
      <c r="H801" t="s">
        <v>27</v>
      </c>
      <c r="I801">
        <v>1549</v>
      </c>
      <c r="J801" s="2" t="s">
        <v>41</v>
      </c>
      <c r="K801" s="1" t="str">
        <f t="shared" si="36"/>
        <v>Has Spaces</v>
      </c>
      <c r="L801" s="1" t="b">
        <v>1</v>
      </c>
      <c r="M801" s="1" t="str">
        <f t="shared" si="37"/>
        <v>Valid</v>
      </c>
      <c r="N801">
        <v>9</v>
      </c>
      <c r="O801" s="1" t="str">
        <f t="shared" si="38"/>
        <v>Valid</v>
      </c>
      <c r="P801" t="s">
        <v>14</v>
      </c>
      <c r="Q801" s="1" t="str">
        <v>Car</v>
      </c>
      <c r="R801">
        <v>1</v>
      </c>
      <c r="S801" s="2" t="s">
        <v>34</v>
      </c>
    </row>
    <row r="802" spans="1:19" x14ac:dyDescent="0.35">
      <c r="A802">
        <v>54</v>
      </c>
      <c r="B802" s="2" t="s">
        <v>37</v>
      </c>
      <c r="C802" t="s">
        <v>19</v>
      </c>
      <c r="D802" s="1" t="str">
        <v>Male</v>
      </c>
      <c r="E802">
        <v>2</v>
      </c>
      <c r="F802" t="s">
        <v>22</v>
      </c>
      <c r="G802" t="s">
        <v>24</v>
      </c>
      <c r="H802" t="s">
        <v>10</v>
      </c>
      <c r="I802">
        <v>1597</v>
      </c>
      <c r="J802" s="2" t="s">
        <v>41</v>
      </c>
      <c r="K802" s="1" t="str">
        <f t="shared" si="36"/>
        <v>Has Spaces</v>
      </c>
      <c r="L802" s="1" t="b">
        <v>1</v>
      </c>
      <c r="M802" s="1" t="str">
        <f t="shared" si="37"/>
        <v>Valid</v>
      </c>
      <c r="N802">
        <v>24</v>
      </c>
      <c r="O802" s="1" t="str">
        <f t="shared" si="38"/>
        <v>Valid</v>
      </c>
      <c r="P802" t="s">
        <v>12</v>
      </c>
      <c r="Q802" s="1" t="str">
        <v>Education</v>
      </c>
      <c r="R802">
        <v>1</v>
      </c>
      <c r="S802" s="2" t="s">
        <v>34</v>
      </c>
    </row>
    <row r="803" spans="1:19" x14ac:dyDescent="0.35">
      <c r="A803">
        <v>48</v>
      </c>
      <c r="B803" s="2" t="s">
        <v>39</v>
      </c>
      <c r="C803" t="s">
        <v>20</v>
      </c>
      <c r="D803" s="1" t="str">
        <v>Female</v>
      </c>
      <c r="E803">
        <v>1</v>
      </c>
      <c r="F803" t="s">
        <v>23</v>
      </c>
      <c r="G803" t="s">
        <v>24</v>
      </c>
      <c r="H803" t="s">
        <v>27</v>
      </c>
      <c r="I803">
        <v>1795</v>
      </c>
      <c r="J803" s="2" t="s">
        <v>41</v>
      </c>
      <c r="K803" s="1" t="str">
        <f t="shared" si="36"/>
        <v>Has Spaces</v>
      </c>
      <c r="L803" s="1" t="b">
        <v>1</v>
      </c>
      <c r="M803" s="1" t="str">
        <f t="shared" si="37"/>
        <v>Valid</v>
      </c>
      <c r="N803">
        <v>18</v>
      </c>
      <c r="O803" s="1" t="str">
        <f t="shared" si="38"/>
        <v>Valid</v>
      </c>
      <c r="P803" t="s">
        <v>11</v>
      </c>
      <c r="Q803" s="1" t="str">
        <v>Radio/Tv</v>
      </c>
      <c r="R803">
        <v>1</v>
      </c>
      <c r="S803" s="2" t="s">
        <v>34</v>
      </c>
    </row>
    <row r="804" spans="1:19" x14ac:dyDescent="0.35">
      <c r="A804">
        <v>24</v>
      </c>
      <c r="B804" s="2" t="s">
        <v>38</v>
      </c>
      <c r="C804" t="s">
        <v>20</v>
      </c>
      <c r="D804" s="1" t="str">
        <v>Female</v>
      </c>
      <c r="E804">
        <v>2</v>
      </c>
      <c r="F804" t="s">
        <v>21</v>
      </c>
      <c r="G804" t="s">
        <v>24</v>
      </c>
      <c r="H804" t="s">
        <v>24</v>
      </c>
      <c r="I804">
        <v>4272</v>
      </c>
      <c r="J804" s="2" t="s">
        <v>43</v>
      </c>
      <c r="K804" s="1" t="str">
        <f t="shared" si="36"/>
        <v>Clean</v>
      </c>
      <c r="L804" s="1" t="b">
        <v>1</v>
      </c>
      <c r="M804" s="1" t="str">
        <f t="shared" si="37"/>
        <v>Valid</v>
      </c>
      <c r="N804">
        <v>20</v>
      </c>
      <c r="O804" s="1" t="str">
        <f t="shared" si="38"/>
        <v>Valid</v>
      </c>
      <c r="P804" t="s">
        <v>13</v>
      </c>
      <c r="Q804" s="1" t="str">
        <v>Furniture/Equipment</v>
      </c>
      <c r="R804">
        <v>1</v>
      </c>
      <c r="S804" s="2" t="s">
        <v>34</v>
      </c>
    </row>
    <row r="805" spans="1:19" x14ac:dyDescent="0.35">
      <c r="A805">
        <v>35</v>
      </c>
      <c r="B805" s="2" t="s">
        <v>39</v>
      </c>
      <c r="C805" t="s">
        <v>19</v>
      </c>
      <c r="D805" s="1" t="str">
        <v>Male</v>
      </c>
      <c r="E805">
        <v>2</v>
      </c>
      <c r="F805" t="s">
        <v>21</v>
      </c>
      <c r="G805" t="s">
        <v>10</v>
      </c>
      <c r="H805" t="s">
        <v>10</v>
      </c>
      <c r="I805">
        <v>976</v>
      </c>
      <c r="J805" s="2" t="s">
        <v>41</v>
      </c>
      <c r="K805" s="1" t="str">
        <f t="shared" si="36"/>
        <v>Has Spaces</v>
      </c>
      <c r="L805" s="1" t="b">
        <v>1</v>
      </c>
      <c r="M805" s="1" t="str">
        <f t="shared" si="37"/>
        <v>Valid</v>
      </c>
      <c r="N805">
        <v>12</v>
      </c>
      <c r="O805" s="1" t="str">
        <f t="shared" si="38"/>
        <v>Valid</v>
      </c>
      <c r="P805" t="s">
        <v>11</v>
      </c>
      <c r="Q805" s="1" t="str">
        <v>Radio/Tv</v>
      </c>
      <c r="R805">
        <v>1</v>
      </c>
      <c r="S805" s="2" t="s">
        <v>34</v>
      </c>
    </row>
    <row r="806" spans="1:19" x14ac:dyDescent="0.35">
      <c r="A806">
        <v>24</v>
      </c>
      <c r="B806" s="2" t="s">
        <v>38</v>
      </c>
      <c r="C806" t="s">
        <v>20</v>
      </c>
      <c r="D806" s="1" t="str">
        <v>Female</v>
      </c>
      <c r="E806">
        <v>0</v>
      </c>
      <c r="F806" t="s">
        <v>23</v>
      </c>
      <c r="G806" t="s">
        <v>10</v>
      </c>
      <c r="H806" t="s">
        <v>27</v>
      </c>
      <c r="I806">
        <v>7472</v>
      </c>
      <c r="J806" s="2" t="s">
        <v>42</v>
      </c>
      <c r="K806" s="1" t="str">
        <f t="shared" si="36"/>
        <v>Clean</v>
      </c>
      <c r="L806" s="1" t="b">
        <v>1</v>
      </c>
      <c r="M806" s="1" t="str">
        <f t="shared" si="37"/>
        <v>Valid</v>
      </c>
      <c r="N806">
        <v>12</v>
      </c>
      <c r="O806" s="1" t="str">
        <f t="shared" si="38"/>
        <v>Valid</v>
      </c>
      <c r="P806" t="s">
        <v>14</v>
      </c>
      <c r="Q806" s="1" t="str">
        <v>Car</v>
      </c>
      <c r="R806">
        <v>1</v>
      </c>
      <c r="S806" s="2" t="s">
        <v>34</v>
      </c>
    </row>
    <row r="807" spans="1:19" x14ac:dyDescent="0.35">
      <c r="A807">
        <v>24</v>
      </c>
      <c r="B807" s="2" t="s">
        <v>38</v>
      </c>
      <c r="C807" t="s">
        <v>19</v>
      </c>
      <c r="D807" s="1" t="str">
        <v>Male</v>
      </c>
      <c r="E807">
        <v>2</v>
      </c>
      <c r="F807" t="s">
        <v>21</v>
      </c>
      <c r="G807" t="s">
        <v>24</v>
      </c>
      <c r="H807" t="s">
        <v>24</v>
      </c>
      <c r="I807">
        <v>9271</v>
      </c>
      <c r="J807" s="2" t="s">
        <v>42</v>
      </c>
      <c r="K807" s="1" t="str">
        <f t="shared" si="36"/>
        <v>Clean</v>
      </c>
      <c r="L807" s="1" t="b">
        <v>1</v>
      </c>
      <c r="M807" s="1" t="str">
        <f t="shared" si="37"/>
        <v>Valid</v>
      </c>
      <c r="N807">
        <v>36</v>
      </c>
      <c r="O807" s="1" t="str">
        <f t="shared" si="38"/>
        <v>Valid</v>
      </c>
      <c r="P807" t="s">
        <v>14</v>
      </c>
      <c r="Q807" s="1" t="str">
        <v>Car</v>
      </c>
      <c r="R807">
        <v>2</v>
      </c>
      <c r="S807" s="2" t="s">
        <v>35</v>
      </c>
    </row>
    <row r="808" spans="1:19" x14ac:dyDescent="0.35">
      <c r="A808">
        <v>26</v>
      </c>
      <c r="B808" s="2" t="s">
        <v>38</v>
      </c>
      <c r="C808" t="s">
        <v>19</v>
      </c>
      <c r="D808" s="1" t="str">
        <v>Male</v>
      </c>
      <c r="E808">
        <v>1</v>
      </c>
      <c r="F808" t="s">
        <v>21</v>
      </c>
      <c r="G808" t="s">
        <v>24</v>
      </c>
      <c r="H808" t="s">
        <v>27</v>
      </c>
      <c r="I808">
        <v>590</v>
      </c>
      <c r="J808" s="2" t="s">
        <v>41</v>
      </c>
      <c r="K808" s="1" t="str">
        <f t="shared" si="36"/>
        <v>Has Spaces</v>
      </c>
      <c r="L808" s="1" t="b">
        <v>1</v>
      </c>
      <c r="M808" s="1" t="str">
        <f t="shared" si="37"/>
        <v>Valid</v>
      </c>
      <c r="N808">
        <v>6</v>
      </c>
      <c r="O808" s="1" t="str">
        <f t="shared" si="38"/>
        <v>Valid</v>
      </c>
      <c r="P808" t="s">
        <v>11</v>
      </c>
      <c r="Q808" s="1" t="str">
        <v>Radio/Tv</v>
      </c>
      <c r="R808">
        <v>1</v>
      </c>
      <c r="S808" s="2" t="s">
        <v>34</v>
      </c>
    </row>
    <row r="809" spans="1:19" x14ac:dyDescent="0.35">
      <c r="A809">
        <v>65</v>
      </c>
      <c r="B809" s="2" t="s">
        <v>37</v>
      </c>
      <c r="C809" t="s">
        <v>19</v>
      </c>
      <c r="D809" s="1" t="str">
        <v>Male</v>
      </c>
      <c r="E809">
        <v>2</v>
      </c>
      <c r="F809" t="s">
        <v>21</v>
      </c>
      <c r="G809" t="s">
        <v>10</v>
      </c>
      <c r="H809" t="s">
        <v>10</v>
      </c>
      <c r="I809">
        <v>930</v>
      </c>
      <c r="J809" s="2" t="s">
        <v>41</v>
      </c>
      <c r="K809" s="1" t="str">
        <f t="shared" si="36"/>
        <v>Has Spaces</v>
      </c>
      <c r="L809" s="1" t="b">
        <v>1</v>
      </c>
      <c r="M809" s="1" t="str">
        <f t="shared" si="37"/>
        <v>Valid</v>
      </c>
      <c r="N809">
        <v>12</v>
      </c>
      <c r="O809" s="1" t="str">
        <f t="shared" si="38"/>
        <v>Valid</v>
      </c>
      <c r="P809" t="s">
        <v>11</v>
      </c>
      <c r="Q809" s="1" t="str">
        <v>Radio/Tv</v>
      </c>
      <c r="R809">
        <v>1</v>
      </c>
      <c r="S809" s="2" t="s">
        <v>34</v>
      </c>
    </row>
    <row r="810" spans="1:19" x14ac:dyDescent="0.35">
      <c r="A810">
        <v>55</v>
      </c>
      <c r="B810" s="2" t="s">
        <v>37</v>
      </c>
      <c r="C810" t="s">
        <v>19</v>
      </c>
      <c r="D810" s="1" t="str">
        <v>Male</v>
      </c>
      <c r="E810">
        <v>3</v>
      </c>
      <c r="F810" t="s">
        <v>22</v>
      </c>
      <c r="G810" t="s">
        <v>24</v>
      </c>
      <c r="H810" t="s">
        <v>27</v>
      </c>
      <c r="I810">
        <v>9283</v>
      </c>
      <c r="J810" s="2" t="s">
        <v>42</v>
      </c>
      <c r="K810" s="1" t="str">
        <f t="shared" si="36"/>
        <v>Clean</v>
      </c>
      <c r="L810" s="1" t="b">
        <v>1</v>
      </c>
      <c r="M810" s="1" t="str">
        <f t="shared" si="37"/>
        <v>Valid</v>
      </c>
      <c r="N810">
        <v>42</v>
      </c>
      <c r="O810" s="1" t="str">
        <f t="shared" si="38"/>
        <v>Valid</v>
      </c>
      <c r="P810" t="s">
        <v>14</v>
      </c>
      <c r="Q810" s="1" t="str">
        <v>Car</v>
      </c>
      <c r="R810">
        <v>1</v>
      </c>
      <c r="S810" s="2" t="s">
        <v>34</v>
      </c>
    </row>
    <row r="811" spans="1:19" x14ac:dyDescent="0.35">
      <c r="A811">
        <v>26</v>
      </c>
      <c r="B811" s="2" t="s">
        <v>38</v>
      </c>
      <c r="C811" t="s">
        <v>20</v>
      </c>
      <c r="D811" s="1" t="str">
        <v>Female</v>
      </c>
      <c r="E811">
        <v>0</v>
      </c>
      <c r="F811" t="s">
        <v>23</v>
      </c>
      <c r="G811" t="s">
        <v>24</v>
      </c>
      <c r="H811" t="s">
        <v>27</v>
      </c>
      <c r="I811">
        <v>1778</v>
      </c>
      <c r="J811" s="2" t="s">
        <v>41</v>
      </c>
      <c r="K811" s="1" t="str">
        <f t="shared" si="36"/>
        <v>Has Spaces</v>
      </c>
      <c r="L811" s="1" t="b">
        <v>1</v>
      </c>
      <c r="M811" s="1" t="str">
        <f t="shared" si="37"/>
        <v>Valid</v>
      </c>
      <c r="N811">
        <v>15</v>
      </c>
      <c r="O811" s="1" t="str">
        <f t="shared" si="38"/>
        <v>Valid</v>
      </c>
      <c r="P811" t="s">
        <v>14</v>
      </c>
      <c r="Q811" s="1" t="str">
        <v>Car</v>
      </c>
      <c r="R811">
        <v>2</v>
      </c>
      <c r="S811" s="2" t="s">
        <v>35</v>
      </c>
    </row>
    <row r="812" spans="1:19" x14ac:dyDescent="0.35">
      <c r="A812">
        <v>26</v>
      </c>
      <c r="B812" s="2" t="s">
        <v>38</v>
      </c>
      <c r="C812" t="s">
        <v>19</v>
      </c>
      <c r="D812" s="1" t="str">
        <v>Male</v>
      </c>
      <c r="E812">
        <v>2</v>
      </c>
      <c r="F812" t="s">
        <v>21</v>
      </c>
      <c r="G812" t="s">
        <v>24</v>
      </c>
      <c r="H812" t="s">
        <v>27</v>
      </c>
      <c r="I812">
        <v>907</v>
      </c>
      <c r="J812" s="2" t="s">
        <v>41</v>
      </c>
      <c r="K812" s="1" t="str">
        <f t="shared" si="36"/>
        <v>Has Spaces</v>
      </c>
      <c r="L812" s="1" t="b">
        <v>1</v>
      </c>
      <c r="M812" s="1" t="str">
        <f t="shared" si="37"/>
        <v>Valid</v>
      </c>
      <c r="N812">
        <v>8</v>
      </c>
      <c r="O812" s="1" t="str">
        <f t="shared" si="38"/>
        <v>Valid</v>
      </c>
      <c r="P812" t="s">
        <v>15</v>
      </c>
      <c r="Q812" s="1" t="str">
        <v>Business</v>
      </c>
      <c r="R812">
        <v>1</v>
      </c>
      <c r="S812" s="2" t="s">
        <v>34</v>
      </c>
    </row>
    <row r="813" spans="1:19" x14ac:dyDescent="0.35">
      <c r="A813">
        <v>28</v>
      </c>
      <c r="B813" s="2" t="s">
        <v>38</v>
      </c>
      <c r="C813" t="s">
        <v>19</v>
      </c>
      <c r="D813" s="1" t="str">
        <v>Male</v>
      </c>
      <c r="E813">
        <v>1</v>
      </c>
      <c r="F813" t="s">
        <v>21</v>
      </c>
      <c r="G813" t="s">
        <v>24</v>
      </c>
      <c r="H813" t="s">
        <v>27</v>
      </c>
      <c r="I813">
        <v>484</v>
      </c>
      <c r="J813" s="2" t="s">
        <v>41</v>
      </c>
      <c r="K813" s="1" t="str">
        <f t="shared" si="36"/>
        <v>Has Spaces</v>
      </c>
      <c r="L813" s="1" t="b">
        <v>1</v>
      </c>
      <c r="M813" s="1" t="str">
        <f t="shared" si="37"/>
        <v>Valid</v>
      </c>
      <c r="N813">
        <v>6</v>
      </c>
      <c r="O813" s="1" t="str">
        <f t="shared" si="38"/>
        <v>Valid</v>
      </c>
      <c r="P813" t="s">
        <v>11</v>
      </c>
      <c r="Q813" s="1" t="str">
        <v>Radio/Tv</v>
      </c>
      <c r="R813">
        <v>1</v>
      </c>
      <c r="S813" s="2" t="s">
        <v>34</v>
      </c>
    </row>
    <row r="814" spans="1:19" x14ac:dyDescent="0.35">
      <c r="A814">
        <v>24</v>
      </c>
      <c r="B814" s="2" t="s">
        <v>38</v>
      </c>
      <c r="C814" t="s">
        <v>19</v>
      </c>
      <c r="D814" s="1" t="str">
        <v>Male</v>
      </c>
      <c r="E814">
        <v>2</v>
      </c>
      <c r="F814" t="s">
        <v>21</v>
      </c>
      <c r="G814" t="s">
        <v>24</v>
      </c>
      <c r="H814" t="s">
        <v>24</v>
      </c>
      <c r="I814">
        <v>9629</v>
      </c>
      <c r="J814" s="2" t="s">
        <v>42</v>
      </c>
      <c r="K814" s="1" t="str">
        <f t="shared" si="36"/>
        <v>Clean</v>
      </c>
      <c r="L814" s="1" t="b">
        <v>1</v>
      </c>
      <c r="M814" s="1" t="str">
        <f t="shared" si="37"/>
        <v>Valid</v>
      </c>
      <c r="N814">
        <v>36</v>
      </c>
      <c r="O814" s="1" t="str">
        <f t="shared" si="38"/>
        <v>Valid</v>
      </c>
      <c r="P814" t="s">
        <v>14</v>
      </c>
      <c r="Q814" s="1" t="str">
        <v>Car</v>
      </c>
      <c r="R814">
        <v>2</v>
      </c>
      <c r="S814" s="2" t="s">
        <v>35</v>
      </c>
    </row>
    <row r="815" spans="1:19" x14ac:dyDescent="0.35">
      <c r="A815">
        <v>54</v>
      </c>
      <c r="B815" s="2" t="s">
        <v>37</v>
      </c>
      <c r="C815" t="s">
        <v>19</v>
      </c>
      <c r="D815" s="1" t="str">
        <v>Male</v>
      </c>
      <c r="E815">
        <v>2</v>
      </c>
      <c r="F815" t="s">
        <v>21</v>
      </c>
      <c r="G815" t="s">
        <v>24</v>
      </c>
      <c r="H815" t="s">
        <v>24</v>
      </c>
      <c r="I815">
        <v>3051</v>
      </c>
      <c r="J815" s="2" t="s">
        <v>43</v>
      </c>
      <c r="K815" s="1" t="str">
        <f t="shared" si="36"/>
        <v>Clean</v>
      </c>
      <c r="L815" s="1" t="b">
        <v>1</v>
      </c>
      <c r="M815" s="1" t="str">
        <f t="shared" si="37"/>
        <v>Valid</v>
      </c>
      <c r="N815">
        <v>48</v>
      </c>
      <c r="O815" s="1" t="str">
        <f t="shared" si="38"/>
        <v>Valid</v>
      </c>
      <c r="P815" t="s">
        <v>16</v>
      </c>
      <c r="Q815" s="1" t="str">
        <v>Domestic Appliances</v>
      </c>
      <c r="R815">
        <v>2</v>
      </c>
      <c r="S815" s="2" t="s">
        <v>35</v>
      </c>
    </row>
    <row r="816" spans="1:19" x14ac:dyDescent="0.35">
      <c r="A816">
        <v>46</v>
      </c>
      <c r="B816" s="2" t="s">
        <v>39</v>
      </c>
      <c r="C816" t="s">
        <v>19</v>
      </c>
      <c r="D816" s="1" t="str">
        <v>Male</v>
      </c>
      <c r="E816">
        <v>2</v>
      </c>
      <c r="F816" t="s">
        <v>22</v>
      </c>
      <c r="G816" t="s">
        <v>24</v>
      </c>
      <c r="H816" t="s">
        <v>24</v>
      </c>
      <c r="I816">
        <v>3931</v>
      </c>
      <c r="J816" s="2" t="s">
        <v>43</v>
      </c>
      <c r="K816" s="1" t="str">
        <f t="shared" si="36"/>
        <v>Clean</v>
      </c>
      <c r="L816" s="1" t="b">
        <v>1</v>
      </c>
      <c r="M816" s="1" t="str">
        <f t="shared" si="37"/>
        <v>Valid</v>
      </c>
      <c r="N816">
        <v>48</v>
      </c>
      <c r="O816" s="1" t="str">
        <f t="shared" si="38"/>
        <v>Valid</v>
      </c>
      <c r="P816" t="s">
        <v>14</v>
      </c>
      <c r="Q816" s="1" t="str">
        <v>Car</v>
      </c>
      <c r="R816">
        <v>2</v>
      </c>
      <c r="S816" s="2" t="s">
        <v>35</v>
      </c>
    </row>
    <row r="817" spans="1:19" x14ac:dyDescent="0.35">
      <c r="A817">
        <v>54</v>
      </c>
      <c r="B817" s="2" t="s">
        <v>37</v>
      </c>
      <c r="C817" t="s">
        <v>20</v>
      </c>
      <c r="D817" s="1" t="str">
        <v>Female</v>
      </c>
      <c r="E817">
        <v>2</v>
      </c>
      <c r="F817" t="s">
        <v>23</v>
      </c>
      <c r="G817" t="s">
        <v>24</v>
      </c>
      <c r="H817" t="s">
        <v>27</v>
      </c>
      <c r="I817">
        <v>7432</v>
      </c>
      <c r="J817" s="2" t="s">
        <v>42</v>
      </c>
      <c r="K817" s="1" t="str">
        <f t="shared" si="36"/>
        <v>Clean</v>
      </c>
      <c r="L817" s="1" t="b">
        <v>1</v>
      </c>
      <c r="M817" s="1" t="str">
        <f t="shared" si="37"/>
        <v>Valid</v>
      </c>
      <c r="N817">
        <v>36</v>
      </c>
      <c r="O817" s="1" t="str">
        <f t="shared" si="38"/>
        <v>Valid</v>
      </c>
      <c r="P817" t="s">
        <v>14</v>
      </c>
      <c r="Q817" s="1" t="str">
        <v>Car</v>
      </c>
      <c r="R817">
        <v>1</v>
      </c>
      <c r="S817" s="2" t="s">
        <v>34</v>
      </c>
    </row>
    <row r="818" spans="1:19" x14ac:dyDescent="0.35">
      <c r="A818">
        <v>62</v>
      </c>
      <c r="B818" s="2" t="s">
        <v>37</v>
      </c>
      <c r="C818" t="s">
        <v>19</v>
      </c>
      <c r="D818" s="1" t="str">
        <v>Male</v>
      </c>
      <c r="E818">
        <v>2</v>
      </c>
      <c r="F818" t="s">
        <v>21</v>
      </c>
      <c r="G818" t="s">
        <v>25</v>
      </c>
      <c r="H818" t="s">
        <v>10</v>
      </c>
      <c r="I818">
        <v>1338</v>
      </c>
      <c r="J818" s="2" t="s">
        <v>41</v>
      </c>
      <c r="K818" s="1" t="str">
        <f t="shared" si="36"/>
        <v>Has Spaces</v>
      </c>
      <c r="L818" s="1" t="b">
        <v>1</v>
      </c>
      <c r="M818" s="1" t="str">
        <f t="shared" si="37"/>
        <v>Valid</v>
      </c>
      <c r="N818">
        <v>6</v>
      </c>
      <c r="O818" s="1" t="str">
        <f t="shared" si="38"/>
        <v>Valid</v>
      </c>
      <c r="P818" t="s">
        <v>16</v>
      </c>
      <c r="Q818" s="1" t="str">
        <v>Domestic Appliances</v>
      </c>
      <c r="R818">
        <v>1</v>
      </c>
      <c r="S818" s="2" t="s">
        <v>34</v>
      </c>
    </row>
    <row r="819" spans="1:19" x14ac:dyDescent="0.35">
      <c r="A819">
        <v>24</v>
      </c>
      <c r="B819" s="2" t="s">
        <v>38</v>
      </c>
      <c r="C819" t="s">
        <v>20</v>
      </c>
      <c r="D819" s="1" t="str">
        <v>Female</v>
      </c>
      <c r="E819">
        <v>2</v>
      </c>
      <c r="F819" t="s">
        <v>23</v>
      </c>
      <c r="G819" t="s">
        <v>24</v>
      </c>
      <c r="H819" t="s">
        <v>10</v>
      </c>
      <c r="I819">
        <v>1554</v>
      </c>
      <c r="J819" s="2" t="s">
        <v>41</v>
      </c>
      <c r="K819" s="1" t="str">
        <f t="shared" si="36"/>
        <v>Has Spaces</v>
      </c>
      <c r="L819" s="1" t="b">
        <v>1</v>
      </c>
      <c r="M819" s="1" t="str">
        <f t="shared" si="37"/>
        <v>Valid</v>
      </c>
      <c r="N819">
        <v>6</v>
      </c>
      <c r="O819" s="1" t="str">
        <f t="shared" si="38"/>
        <v>Valid</v>
      </c>
      <c r="P819" t="s">
        <v>11</v>
      </c>
      <c r="Q819" s="1" t="str">
        <v>Radio/Tv</v>
      </c>
      <c r="R819">
        <v>1</v>
      </c>
      <c r="S819" s="2" t="s">
        <v>34</v>
      </c>
    </row>
    <row r="820" spans="1:19" x14ac:dyDescent="0.35">
      <c r="A820">
        <v>43</v>
      </c>
      <c r="B820" s="2" t="s">
        <v>39</v>
      </c>
      <c r="C820" t="s">
        <v>19</v>
      </c>
      <c r="D820" s="1" t="str">
        <v>Male</v>
      </c>
      <c r="E820">
        <v>3</v>
      </c>
      <c r="F820" t="s">
        <v>21</v>
      </c>
      <c r="G820" t="s">
        <v>24</v>
      </c>
      <c r="H820" t="s">
        <v>24</v>
      </c>
      <c r="I820">
        <v>15857</v>
      </c>
      <c r="J820" s="2" t="s">
        <v>42</v>
      </c>
      <c r="K820" s="1" t="str">
        <f t="shared" si="36"/>
        <v>Clean</v>
      </c>
      <c r="L820" s="1" t="b">
        <v>1</v>
      </c>
      <c r="M820" s="1" t="str">
        <f t="shared" si="37"/>
        <v>Valid</v>
      </c>
      <c r="N820">
        <v>36</v>
      </c>
      <c r="O820" s="1" t="str">
        <f t="shared" si="38"/>
        <v>Valid</v>
      </c>
      <c r="P820" t="s">
        <v>18</v>
      </c>
      <c r="Q820" s="1" t="str">
        <v>Vacation/Others</v>
      </c>
      <c r="R820">
        <v>1</v>
      </c>
      <c r="S820" s="2" t="s">
        <v>34</v>
      </c>
    </row>
    <row r="821" spans="1:19" x14ac:dyDescent="0.35">
      <c r="A821">
        <v>26</v>
      </c>
      <c r="B821" s="2" t="s">
        <v>38</v>
      </c>
      <c r="C821" t="s">
        <v>19</v>
      </c>
      <c r="D821" s="1" t="str">
        <v>Male</v>
      </c>
      <c r="E821">
        <v>2</v>
      </c>
      <c r="F821" t="s">
        <v>21</v>
      </c>
      <c r="G821" t="s">
        <v>24</v>
      </c>
      <c r="H821" t="s">
        <v>24</v>
      </c>
      <c r="I821">
        <v>1345</v>
      </c>
      <c r="J821" s="2" t="s">
        <v>41</v>
      </c>
      <c r="K821" s="1" t="str">
        <f t="shared" si="36"/>
        <v>Has Spaces</v>
      </c>
      <c r="L821" s="1" t="b">
        <v>1</v>
      </c>
      <c r="M821" s="1" t="str">
        <f t="shared" si="37"/>
        <v>Valid</v>
      </c>
      <c r="N821">
        <v>18</v>
      </c>
      <c r="O821" s="1" t="str">
        <f t="shared" si="38"/>
        <v>Valid</v>
      </c>
      <c r="P821" t="s">
        <v>11</v>
      </c>
      <c r="Q821" s="1" t="str">
        <v>Radio/Tv</v>
      </c>
      <c r="R821">
        <v>2</v>
      </c>
      <c r="S821" s="2" t="s">
        <v>35</v>
      </c>
    </row>
    <row r="822" spans="1:19" x14ac:dyDescent="0.35">
      <c r="A822">
        <v>27</v>
      </c>
      <c r="B822" s="2" t="s">
        <v>38</v>
      </c>
      <c r="C822" t="s">
        <v>19</v>
      </c>
      <c r="D822" s="1" t="str">
        <v>Male</v>
      </c>
      <c r="E822">
        <v>2</v>
      </c>
      <c r="F822" t="s">
        <v>21</v>
      </c>
      <c r="G822" t="s">
        <v>24</v>
      </c>
      <c r="H822" t="s">
        <v>10</v>
      </c>
      <c r="I822">
        <v>1101</v>
      </c>
      <c r="J822" s="2" t="s">
        <v>41</v>
      </c>
      <c r="K822" s="1" t="str">
        <f t="shared" si="36"/>
        <v>Has Spaces</v>
      </c>
      <c r="L822" s="1" t="b">
        <v>1</v>
      </c>
      <c r="M822" s="1" t="str">
        <f t="shared" si="37"/>
        <v>Valid</v>
      </c>
      <c r="N822">
        <v>12</v>
      </c>
      <c r="O822" s="1" t="str">
        <f t="shared" si="38"/>
        <v>Valid</v>
      </c>
      <c r="P822" t="s">
        <v>14</v>
      </c>
      <c r="Q822" s="1" t="str">
        <v>Car</v>
      </c>
      <c r="R822">
        <v>1</v>
      </c>
      <c r="S822" s="2" t="s">
        <v>34</v>
      </c>
    </row>
    <row r="823" spans="1:19" x14ac:dyDescent="0.35">
      <c r="A823">
        <v>24</v>
      </c>
      <c r="B823" s="2" t="s">
        <v>38</v>
      </c>
      <c r="C823" t="s">
        <v>19</v>
      </c>
      <c r="D823" s="1" t="str">
        <v>Male</v>
      </c>
      <c r="E823">
        <v>2</v>
      </c>
      <c r="F823" t="s">
        <v>21</v>
      </c>
      <c r="G823" t="s">
        <v>24</v>
      </c>
      <c r="H823" t="s">
        <v>26</v>
      </c>
      <c r="I823">
        <v>3016</v>
      </c>
      <c r="J823" s="2" t="s">
        <v>43</v>
      </c>
      <c r="K823" s="1" t="str">
        <f t="shared" si="36"/>
        <v>Clean</v>
      </c>
      <c r="L823" s="1" t="b">
        <v>1</v>
      </c>
      <c r="M823" s="1" t="str">
        <f t="shared" si="37"/>
        <v>Valid</v>
      </c>
      <c r="N823">
        <v>12</v>
      </c>
      <c r="O823" s="1" t="str">
        <f t="shared" si="38"/>
        <v>Valid</v>
      </c>
      <c r="P823" t="s">
        <v>11</v>
      </c>
      <c r="Q823" s="1" t="str">
        <v>Radio/Tv</v>
      </c>
      <c r="R823">
        <v>1</v>
      </c>
      <c r="S823" s="2" t="s">
        <v>34</v>
      </c>
    </row>
    <row r="824" spans="1:19" x14ac:dyDescent="0.35">
      <c r="A824">
        <v>41</v>
      </c>
      <c r="B824" s="2" t="s">
        <v>39</v>
      </c>
      <c r="C824" t="s">
        <v>19</v>
      </c>
      <c r="D824" s="1" t="str">
        <v>Male</v>
      </c>
      <c r="E824">
        <v>2</v>
      </c>
      <c r="F824" t="s">
        <v>21</v>
      </c>
      <c r="G824" t="s">
        <v>24</v>
      </c>
      <c r="H824" t="s">
        <v>24</v>
      </c>
      <c r="I824">
        <v>2712</v>
      </c>
      <c r="J824" s="2" t="s">
        <v>43</v>
      </c>
      <c r="K824" s="1" t="str">
        <f t="shared" si="36"/>
        <v>Clean</v>
      </c>
      <c r="L824" s="1" t="b">
        <v>1</v>
      </c>
      <c r="M824" s="1" t="str">
        <f t="shared" si="37"/>
        <v>Valid</v>
      </c>
      <c r="N824">
        <v>36</v>
      </c>
      <c r="O824" s="1" t="str">
        <f t="shared" si="38"/>
        <v>Valid</v>
      </c>
      <c r="P824" t="s">
        <v>13</v>
      </c>
      <c r="Q824" s="1" t="str">
        <v>Furniture/Equipment</v>
      </c>
      <c r="R824">
        <v>2</v>
      </c>
      <c r="S824" s="2" t="s">
        <v>35</v>
      </c>
    </row>
    <row r="825" spans="1:19" x14ac:dyDescent="0.35">
      <c r="A825">
        <v>47</v>
      </c>
      <c r="B825" s="2" t="s">
        <v>39</v>
      </c>
      <c r="C825" t="s">
        <v>19</v>
      </c>
      <c r="D825" s="1" t="str">
        <v>Male</v>
      </c>
      <c r="E825">
        <v>1</v>
      </c>
      <c r="F825" t="s">
        <v>21</v>
      </c>
      <c r="G825" t="s">
        <v>24</v>
      </c>
      <c r="H825" t="s">
        <v>24</v>
      </c>
      <c r="I825">
        <v>731</v>
      </c>
      <c r="J825" s="2" t="s">
        <v>41</v>
      </c>
      <c r="K825" s="1" t="str">
        <f t="shared" si="36"/>
        <v>Has Spaces</v>
      </c>
      <c r="L825" s="1" t="b">
        <v>1</v>
      </c>
      <c r="M825" s="1" t="str">
        <f t="shared" si="37"/>
        <v>Valid</v>
      </c>
      <c r="N825">
        <v>8</v>
      </c>
      <c r="O825" s="1" t="str">
        <f t="shared" si="38"/>
        <v>Valid</v>
      </c>
      <c r="P825" t="s">
        <v>14</v>
      </c>
      <c r="Q825" s="1" t="str">
        <v>Car</v>
      </c>
      <c r="R825">
        <v>1</v>
      </c>
      <c r="S825" s="2" t="s">
        <v>34</v>
      </c>
    </row>
    <row r="826" spans="1:19" x14ac:dyDescent="0.35">
      <c r="A826">
        <v>35</v>
      </c>
      <c r="B826" s="2" t="s">
        <v>39</v>
      </c>
      <c r="C826" t="s">
        <v>19</v>
      </c>
      <c r="D826" s="1" t="str">
        <v>Male</v>
      </c>
      <c r="E826">
        <v>3</v>
      </c>
      <c r="F826" t="s">
        <v>21</v>
      </c>
      <c r="G826" t="s">
        <v>24</v>
      </c>
      <c r="H826" t="s">
        <v>10</v>
      </c>
      <c r="I826">
        <v>3780</v>
      </c>
      <c r="J826" s="2" t="s">
        <v>43</v>
      </c>
      <c r="K826" s="1" t="str">
        <f t="shared" si="36"/>
        <v>Clean</v>
      </c>
      <c r="L826" s="1" t="b">
        <v>1</v>
      </c>
      <c r="M826" s="1" t="str">
        <f t="shared" si="37"/>
        <v>Valid</v>
      </c>
      <c r="N826">
        <v>18</v>
      </c>
      <c r="O826" s="1" t="str">
        <f t="shared" si="38"/>
        <v>Valid</v>
      </c>
      <c r="P826" t="s">
        <v>13</v>
      </c>
      <c r="Q826" s="1" t="str">
        <v>Furniture/Equipment</v>
      </c>
      <c r="R826">
        <v>1</v>
      </c>
      <c r="S826" s="2" t="s">
        <v>34</v>
      </c>
    </row>
    <row r="827" spans="1:19" x14ac:dyDescent="0.35">
      <c r="A827">
        <v>30</v>
      </c>
      <c r="B827" s="2" t="s">
        <v>39</v>
      </c>
      <c r="C827" t="s">
        <v>19</v>
      </c>
      <c r="D827" s="1" t="str">
        <v>Male</v>
      </c>
      <c r="E827">
        <v>2</v>
      </c>
      <c r="F827" t="s">
        <v>21</v>
      </c>
      <c r="G827" t="s">
        <v>24</v>
      </c>
      <c r="H827" t="s">
        <v>24</v>
      </c>
      <c r="I827">
        <v>1602</v>
      </c>
      <c r="J827" s="2" t="s">
        <v>41</v>
      </c>
      <c r="K827" s="1" t="str">
        <f t="shared" si="36"/>
        <v>Has Spaces</v>
      </c>
      <c r="L827" s="1" t="b">
        <v>1</v>
      </c>
      <c r="M827" s="1" t="str">
        <f t="shared" si="37"/>
        <v>Valid</v>
      </c>
      <c r="N827">
        <v>21</v>
      </c>
      <c r="O827" s="1" t="str">
        <f t="shared" si="38"/>
        <v>Valid</v>
      </c>
      <c r="P827" t="s">
        <v>14</v>
      </c>
      <c r="Q827" s="1" t="str">
        <v>Car</v>
      </c>
      <c r="R827">
        <v>1</v>
      </c>
      <c r="S827" s="2" t="s">
        <v>34</v>
      </c>
    </row>
    <row r="828" spans="1:19" x14ac:dyDescent="0.35">
      <c r="A828">
        <v>33</v>
      </c>
      <c r="B828" s="2" t="s">
        <v>39</v>
      </c>
      <c r="C828" t="s">
        <v>20</v>
      </c>
      <c r="D828" s="1" t="str">
        <v>Female</v>
      </c>
      <c r="E828">
        <v>2</v>
      </c>
      <c r="F828" t="s">
        <v>23</v>
      </c>
      <c r="G828" t="s">
        <v>24</v>
      </c>
      <c r="H828" t="s">
        <v>24</v>
      </c>
      <c r="I828">
        <v>3966</v>
      </c>
      <c r="J828" s="2" t="s">
        <v>43</v>
      </c>
      <c r="K828" s="1" t="str">
        <f t="shared" si="36"/>
        <v>Clean</v>
      </c>
      <c r="L828" s="1" t="b">
        <v>1</v>
      </c>
      <c r="M828" s="1" t="str">
        <f t="shared" si="37"/>
        <v>Valid</v>
      </c>
      <c r="N828">
        <v>18</v>
      </c>
      <c r="O828" s="1" t="str">
        <f t="shared" si="38"/>
        <v>Valid</v>
      </c>
      <c r="P828" t="s">
        <v>14</v>
      </c>
      <c r="Q828" s="1" t="str">
        <v>Car</v>
      </c>
      <c r="R828">
        <v>2</v>
      </c>
      <c r="S828" s="2" t="s">
        <v>35</v>
      </c>
    </row>
    <row r="829" spans="1:19" x14ac:dyDescent="0.35">
      <c r="A829">
        <v>36</v>
      </c>
      <c r="B829" s="2" t="s">
        <v>39</v>
      </c>
      <c r="C829" t="s">
        <v>19</v>
      </c>
      <c r="D829" s="1" t="str">
        <v>Male</v>
      </c>
      <c r="E829">
        <v>2</v>
      </c>
      <c r="F829" t="s">
        <v>21</v>
      </c>
      <c r="G829" t="s">
        <v>24</v>
      </c>
      <c r="H829" t="s">
        <v>10</v>
      </c>
      <c r="I829">
        <v>4165</v>
      </c>
      <c r="J829" s="2" t="s">
        <v>43</v>
      </c>
      <c r="K829" s="1" t="str">
        <f t="shared" si="36"/>
        <v>Clean</v>
      </c>
      <c r="L829" s="1" t="b">
        <v>1</v>
      </c>
      <c r="M829" s="1" t="str">
        <f t="shared" si="37"/>
        <v>Valid</v>
      </c>
      <c r="N829">
        <v>18</v>
      </c>
      <c r="O829" s="1" t="str">
        <f t="shared" si="38"/>
        <v>Valid</v>
      </c>
      <c r="P829" t="s">
        <v>15</v>
      </c>
      <c r="Q829" s="1" t="str">
        <v>Business</v>
      </c>
      <c r="R829">
        <v>2</v>
      </c>
      <c r="S829" s="2" t="s">
        <v>35</v>
      </c>
    </row>
    <row r="830" spans="1:19" x14ac:dyDescent="0.35">
      <c r="A830">
        <v>47</v>
      </c>
      <c r="B830" s="2" t="s">
        <v>39</v>
      </c>
      <c r="C830" t="s">
        <v>19</v>
      </c>
      <c r="D830" s="1" t="str">
        <v>Male</v>
      </c>
      <c r="E830">
        <v>2</v>
      </c>
      <c r="F830" t="s">
        <v>22</v>
      </c>
      <c r="G830" t="s">
        <v>10</v>
      </c>
      <c r="H830" t="s">
        <v>24</v>
      </c>
      <c r="I830">
        <v>8335</v>
      </c>
      <c r="J830" s="2" t="s">
        <v>42</v>
      </c>
      <c r="K830" s="1" t="str">
        <f t="shared" si="36"/>
        <v>Clean</v>
      </c>
      <c r="L830" s="1" t="b">
        <v>1</v>
      </c>
      <c r="M830" s="1" t="str">
        <f t="shared" si="37"/>
        <v>Valid</v>
      </c>
      <c r="N830">
        <v>36</v>
      </c>
      <c r="O830" s="1" t="str">
        <f t="shared" si="38"/>
        <v>Valid</v>
      </c>
      <c r="P830" t="s">
        <v>14</v>
      </c>
      <c r="Q830" s="1" t="str">
        <v>Car</v>
      </c>
      <c r="R830">
        <v>2</v>
      </c>
      <c r="S830" s="2" t="s">
        <v>35</v>
      </c>
    </row>
    <row r="831" spans="1:19" x14ac:dyDescent="0.35">
      <c r="A831">
        <v>38</v>
      </c>
      <c r="B831" s="2" t="s">
        <v>39</v>
      </c>
      <c r="C831" t="s">
        <v>19</v>
      </c>
      <c r="D831" s="1" t="str">
        <v>Male</v>
      </c>
      <c r="E831">
        <v>2</v>
      </c>
      <c r="F831" t="s">
        <v>22</v>
      </c>
      <c r="G831" t="s">
        <v>10</v>
      </c>
      <c r="H831" t="s">
        <v>27</v>
      </c>
      <c r="I831">
        <v>6681</v>
      </c>
      <c r="J831" s="2" t="s">
        <v>42</v>
      </c>
      <c r="K831" s="1" t="str">
        <f t="shared" si="36"/>
        <v>Clean</v>
      </c>
      <c r="L831" s="1" t="b">
        <v>1</v>
      </c>
      <c r="M831" s="1" t="str">
        <f t="shared" si="37"/>
        <v>Valid</v>
      </c>
      <c r="N831">
        <v>48</v>
      </c>
      <c r="O831" s="1" t="str">
        <f t="shared" si="38"/>
        <v>Valid</v>
      </c>
      <c r="P831" t="s">
        <v>15</v>
      </c>
      <c r="Q831" s="1" t="str">
        <v>Business</v>
      </c>
      <c r="R831">
        <v>1</v>
      </c>
      <c r="S831" s="2" t="s">
        <v>34</v>
      </c>
    </row>
    <row r="832" spans="1:19" x14ac:dyDescent="0.35">
      <c r="A832">
        <v>44</v>
      </c>
      <c r="B832" s="2" t="s">
        <v>39</v>
      </c>
      <c r="C832" t="s">
        <v>19</v>
      </c>
      <c r="D832" s="1" t="str">
        <v>Male</v>
      </c>
      <c r="E832">
        <v>2</v>
      </c>
      <c r="F832" t="s">
        <v>21</v>
      </c>
      <c r="G832" t="s">
        <v>25</v>
      </c>
      <c r="H832" t="s">
        <v>10</v>
      </c>
      <c r="I832">
        <v>2375</v>
      </c>
      <c r="J832" s="2" t="s">
        <v>43</v>
      </c>
      <c r="K832" s="1" t="str">
        <f t="shared" si="36"/>
        <v>Clean</v>
      </c>
      <c r="L832" s="1" t="b">
        <v>1</v>
      </c>
      <c r="M832" s="1" t="str">
        <f t="shared" si="37"/>
        <v>Valid</v>
      </c>
      <c r="N832">
        <v>24</v>
      </c>
      <c r="O832" s="1" t="str">
        <f t="shared" si="38"/>
        <v>Valid</v>
      </c>
      <c r="P832" t="s">
        <v>15</v>
      </c>
      <c r="Q832" s="1" t="str">
        <v>Business</v>
      </c>
      <c r="R832">
        <v>1</v>
      </c>
      <c r="S832" s="2" t="s">
        <v>34</v>
      </c>
    </row>
    <row r="833" spans="1:19" x14ac:dyDescent="0.35">
      <c r="A833">
        <v>23</v>
      </c>
      <c r="B833" s="2" t="s">
        <v>38</v>
      </c>
      <c r="C833" t="s">
        <v>20</v>
      </c>
      <c r="D833" s="1" t="str">
        <v>Female</v>
      </c>
      <c r="E833">
        <v>2</v>
      </c>
      <c r="F833" t="s">
        <v>23</v>
      </c>
      <c r="G833" t="s">
        <v>24</v>
      </c>
      <c r="H833" t="s">
        <v>24</v>
      </c>
      <c r="I833">
        <v>1216</v>
      </c>
      <c r="J833" s="2" t="s">
        <v>41</v>
      </c>
      <c r="K833" s="1" t="str">
        <f t="shared" si="36"/>
        <v>Has Spaces</v>
      </c>
      <c r="L833" s="1" t="b">
        <v>1</v>
      </c>
      <c r="M833" s="1" t="str">
        <f t="shared" si="37"/>
        <v>Valid</v>
      </c>
      <c r="N833">
        <v>18</v>
      </c>
      <c r="O833" s="1" t="str">
        <f t="shared" si="38"/>
        <v>Valid</v>
      </c>
      <c r="P833" t="s">
        <v>14</v>
      </c>
      <c r="Q833" s="1" t="str">
        <v>Car</v>
      </c>
      <c r="R833">
        <v>2</v>
      </c>
      <c r="S833" s="2" t="s">
        <v>35</v>
      </c>
    </row>
    <row r="834" spans="1:19" x14ac:dyDescent="0.35">
      <c r="A834">
        <v>29</v>
      </c>
      <c r="B834" s="2" t="s">
        <v>38</v>
      </c>
      <c r="C834" t="s">
        <v>19</v>
      </c>
      <c r="D834" s="1" t="str">
        <v>Male</v>
      </c>
      <c r="E834">
        <v>2</v>
      </c>
      <c r="F834" t="s">
        <v>23</v>
      </c>
      <c r="G834" t="s">
        <v>24</v>
      </c>
      <c r="H834" t="s">
        <v>24</v>
      </c>
      <c r="I834">
        <v>11816</v>
      </c>
      <c r="J834" s="2" t="s">
        <v>42</v>
      </c>
      <c r="K834" s="1" t="str">
        <f t="shared" si="36"/>
        <v>Clean</v>
      </c>
      <c r="L834" s="1" t="b">
        <v>1</v>
      </c>
      <c r="M834" s="1" t="str">
        <f t="shared" si="37"/>
        <v>Valid</v>
      </c>
      <c r="N834">
        <v>45</v>
      </c>
      <c r="O834" s="1" t="str">
        <f t="shared" si="38"/>
        <v>Valid</v>
      </c>
      <c r="P834" t="s">
        <v>15</v>
      </c>
      <c r="Q834" s="1" t="str">
        <v>Business</v>
      </c>
      <c r="R834">
        <v>2</v>
      </c>
      <c r="S834" s="2" t="s">
        <v>35</v>
      </c>
    </row>
    <row r="835" spans="1:19" x14ac:dyDescent="0.35">
      <c r="A835">
        <v>42</v>
      </c>
      <c r="B835" s="2" t="s">
        <v>39</v>
      </c>
      <c r="C835" t="s">
        <v>20</v>
      </c>
      <c r="D835" s="1" t="str">
        <v>Female</v>
      </c>
      <c r="E835">
        <v>2</v>
      </c>
      <c r="F835" t="s">
        <v>21</v>
      </c>
      <c r="G835" t="s">
        <v>10</v>
      </c>
      <c r="H835" t="s">
        <v>27</v>
      </c>
      <c r="I835">
        <v>5084</v>
      </c>
      <c r="J835" s="2" t="s">
        <v>42</v>
      </c>
      <c r="K835" s="1" t="str">
        <f t="shared" ref="K835:K898" si="39">IF(J835=TRIM(J835),"Clean","Has Spaces")</f>
        <v>Clean</v>
      </c>
      <c r="L835" s="1" t="b">
        <v>1</v>
      </c>
      <c r="M835" s="1" t="str">
        <f t="shared" ref="M835:M898" si="40">IF(I835&gt;0,"Valid", "Invalid")</f>
        <v>Valid</v>
      </c>
      <c r="N835">
        <v>24</v>
      </c>
      <c r="O835" s="1" t="str">
        <f t="shared" ref="O835:O898" si="41">IF(N835&lt;=0,"invalid", "Valid")</f>
        <v>Valid</v>
      </c>
      <c r="P835" t="s">
        <v>11</v>
      </c>
      <c r="Q835" s="1" t="str">
        <v>Radio/Tv</v>
      </c>
      <c r="R835">
        <v>1</v>
      </c>
      <c r="S835" s="2" t="s">
        <v>34</v>
      </c>
    </row>
    <row r="836" spans="1:19" x14ac:dyDescent="0.35">
      <c r="A836">
        <v>25</v>
      </c>
      <c r="B836" s="2" t="s">
        <v>38</v>
      </c>
      <c r="C836" t="s">
        <v>20</v>
      </c>
      <c r="D836" s="1" t="str">
        <v>Female</v>
      </c>
      <c r="E836">
        <v>1</v>
      </c>
      <c r="F836" t="s">
        <v>21</v>
      </c>
      <c r="G836" t="s">
        <v>24</v>
      </c>
      <c r="H836" t="s">
        <v>26</v>
      </c>
      <c r="I836">
        <v>2327</v>
      </c>
      <c r="J836" s="2" t="s">
        <v>43</v>
      </c>
      <c r="K836" s="1" t="str">
        <f t="shared" si="39"/>
        <v>Clean</v>
      </c>
      <c r="L836" s="1" t="b">
        <v>1</v>
      </c>
      <c r="M836" s="1" t="str">
        <f t="shared" si="40"/>
        <v>Valid</v>
      </c>
      <c r="N836">
        <v>15</v>
      </c>
      <c r="O836" s="1" t="str">
        <f t="shared" si="41"/>
        <v>Valid</v>
      </c>
      <c r="P836" t="s">
        <v>11</v>
      </c>
      <c r="Q836" s="1" t="str">
        <v>Radio/Tv</v>
      </c>
      <c r="R836">
        <v>2</v>
      </c>
      <c r="S836" s="2" t="s">
        <v>35</v>
      </c>
    </row>
    <row r="837" spans="1:19" x14ac:dyDescent="0.35">
      <c r="A837">
        <v>48</v>
      </c>
      <c r="B837" s="2" t="s">
        <v>39</v>
      </c>
      <c r="C837" t="s">
        <v>19</v>
      </c>
      <c r="D837" s="1" t="str">
        <v>Male</v>
      </c>
      <c r="E837">
        <v>2</v>
      </c>
      <c r="F837" t="s">
        <v>21</v>
      </c>
      <c r="G837" t="s">
        <v>24</v>
      </c>
      <c r="H837" t="s">
        <v>24</v>
      </c>
      <c r="I837">
        <v>1082</v>
      </c>
      <c r="J837" s="2" t="s">
        <v>41</v>
      </c>
      <c r="K837" s="1" t="str">
        <f t="shared" si="39"/>
        <v>Has Spaces</v>
      </c>
      <c r="L837" s="1" t="b">
        <v>1</v>
      </c>
      <c r="M837" s="1" t="str">
        <f t="shared" si="40"/>
        <v>Valid</v>
      </c>
      <c r="N837">
        <v>12</v>
      </c>
      <c r="O837" s="1" t="str">
        <f t="shared" si="41"/>
        <v>Valid</v>
      </c>
      <c r="P837" t="s">
        <v>14</v>
      </c>
      <c r="Q837" s="1" t="str">
        <v>Car</v>
      </c>
      <c r="R837">
        <v>2</v>
      </c>
      <c r="S837" s="2" t="s">
        <v>35</v>
      </c>
    </row>
    <row r="838" spans="1:19" x14ac:dyDescent="0.35">
      <c r="A838">
        <v>21</v>
      </c>
      <c r="B838" s="2" t="s">
        <v>38</v>
      </c>
      <c r="C838" t="s">
        <v>20</v>
      </c>
      <c r="D838" s="1" t="str">
        <v>Female</v>
      </c>
      <c r="E838">
        <v>2</v>
      </c>
      <c r="F838" t="s">
        <v>21</v>
      </c>
      <c r="G838" t="s">
        <v>10</v>
      </c>
      <c r="H838" t="s">
        <v>10</v>
      </c>
      <c r="I838">
        <v>886</v>
      </c>
      <c r="J838" s="2" t="s">
        <v>41</v>
      </c>
      <c r="K838" s="1" t="str">
        <f t="shared" si="39"/>
        <v>Has Spaces</v>
      </c>
      <c r="L838" s="1" t="b">
        <v>1</v>
      </c>
      <c r="M838" s="1" t="str">
        <f t="shared" si="40"/>
        <v>Valid</v>
      </c>
      <c r="N838">
        <v>12</v>
      </c>
      <c r="O838" s="1" t="str">
        <f t="shared" si="41"/>
        <v>Valid</v>
      </c>
      <c r="P838" t="s">
        <v>11</v>
      </c>
      <c r="Q838" s="1" t="str">
        <v>Radio/Tv</v>
      </c>
      <c r="R838">
        <v>1</v>
      </c>
      <c r="S838" s="2" t="s">
        <v>34</v>
      </c>
    </row>
    <row r="839" spans="1:19" x14ac:dyDescent="0.35">
      <c r="A839">
        <v>23</v>
      </c>
      <c r="B839" s="2" t="s">
        <v>38</v>
      </c>
      <c r="C839" t="s">
        <v>20</v>
      </c>
      <c r="D839" s="1" t="str">
        <v>Female</v>
      </c>
      <c r="E839">
        <v>1</v>
      </c>
      <c r="F839" t="s">
        <v>23</v>
      </c>
      <c r="G839" t="s">
        <v>24</v>
      </c>
      <c r="H839" t="s">
        <v>10</v>
      </c>
      <c r="I839">
        <v>601</v>
      </c>
      <c r="J839" s="2" t="s">
        <v>41</v>
      </c>
      <c r="K839" s="1" t="str">
        <f t="shared" si="39"/>
        <v>Has Spaces</v>
      </c>
      <c r="L839" s="1" t="b">
        <v>1</v>
      </c>
      <c r="M839" s="1" t="str">
        <f t="shared" si="40"/>
        <v>Valid</v>
      </c>
      <c r="N839">
        <v>4</v>
      </c>
      <c r="O839" s="1" t="str">
        <f t="shared" si="41"/>
        <v>Valid</v>
      </c>
      <c r="P839" t="s">
        <v>13</v>
      </c>
      <c r="Q839" s="1" t="str">
        <v>Furniture/Equipment</v>
      </c>
      <c r="R839">
        <v>1</v>
      </c>
      <c r="S839" s="2" t="s">
        <v>34</v>
      </c>
    </row>
    <row r="840" spans="1:19" x14ac:dyDescent="0.35">
      <c r="A840">
        <v>63</v>
      </c>
      <c r="B840" s="2" t="s">
        <v>37</v>
      </c>
      <c r="C840" t="s">
        <v>19</v>
      </c>
      <c r="D840" s="1" t="str">
        <v>Male</v>
      </c>
      <c r="E840">
        <v>2</v>
      </c>
      <c r="F840" t="s">
        <v>21</v>
      </c>
      <c r="G840" t="s">
        <v>24</v>
      </c>
      <c r="H840" t="s">
        <v>24</v>
      </c>
      <c r="I840">
        <v>2957</v>
      </c>
      <c r="J840" s="2" t="s">
        <v>43</v>
      </c>
      <c r="K840" s="1" t="str">
        <f t="shared" si="39"/>
        <v>Clean</v>
      </c>
      <c r="L840" s="1" t="b">
        <v>1</v>
      </c>
      <c r="M840" s="1" t="str">
        <f t="shared" si="40"/>
        <v>Valid</v>
      </c>
      <c r="N840">
        <v>24</v>
      </c>
      <c r="O840" s="1" t="str">
        <f t="shared" si="41"/>
        <v>Valid</v>
      </c>
      <c r="P840" t="s">
        <v>14</v>
      </c>
      <c r="Q840" s="1" t="str">
        <v>Car</v>
      </c>
      <c r="R840">
        <v>1</v>
      </c>
      <c r="S840" s="2" t="s">
        <v>34</v>
      </c>
    </row>
    <row r="841" spans="1:19" x14ac:dyDescent="0.35">
      <c r="A841">
        <v>46</v>
      </c>
      <c r="B841" s="2" t="s">
        <v>39</v>
      </c>
      <c r="C841" t="s">
        <v>19</v>
      </c>
      <c r="D841" s="1" t="str">
        <v>Male</v>
      </c>
      <c r="E841">
        <v>2</v>
      </c>
      <c r="F841" t="s">
        <v>21</v>
      </c>
      <c r="G841" t="s">
        <v>24</v>
      </c>
      <c r="H841" t="s">
        <v>10</v>
      </c>
      <c r="I841">
        <v>2611</v>
      </c>
      <c r="J841" s="2" t="s">
        <v>43</v>
      </c>
      <c r="K841" s="1" t="str">
        <f t="shared" si="39"/>
        <v>Clean</v>
      </c>
      <c r="L841" s="1" t="b">
        <v>1</v>
      </c>
      <c r="M841" s="1" t="str">
        <f t="shared" si="40"/>
        <v>Valid</v>
      </c>
      <c r="N841">
        <v>24</v>
      </c>
      <c r="O841" s="1" t="str">
        <f t="shared" si="41"/>
        <v>Valid</v>
      </c>
      <c r="P841" t="s">
        <v>11</v>
      </c>
      <c r="Q841" s="1" t="str">
        <v>Radio/Tv</v>
      </c>
      <c r="R841">
        <v>1</v>
      </c>
      <c r="S841" s="2" t="s">
        <v>34</v>
      </c>
    </row>
    <row r="842" spans="1:19" x14ac:dyDescent="0.35">
      <c r="A842">
        <v>29</v>
      </c>
      <c r="B842" s="2" t="s">
        <v>38</v>
      </c>
      <c r="C842" t="s">
        <v>19</v>
      </c>
      <c r="D842" s="1" t="str">
        <v>Male</v>
      </c>
      <c r="E842">
        <v>2</v>
      </c>
      <c r="F842" t="s">
        <v>21</v>
      </c>
      <c r="G842" t="s">
        <v>24</v>
      </c>
      <c r="H842" t="s">
        <v>24</v>
      </c>
      <c r="I842">
        <v>5179</v>
      </c>
      <c r="J842" s="2" t="s">
        <v>42</v>
      </c>
      <c r="K842" s="1" t="str">
        <f t="shared" si="39"/>
        <v>Clean</v>
      </c>
      <c r="L842" s="1" t="b">
        <v>1</v>
      </c>
      <c r="M842" s="1" t="str">
        <f t="shared" si="40"/>
        <v>Valid</v>
      </c>
      <c r="N842">
        <v>36</v>
      </c>
      <c r="O842" s="1" t="str">
        <f t="shared" si="41"/>
        <v>Valid</v>
      </c>
      <c r="P842" t="s">
        <v>13</v>
      </c>
      <c r="Q842" s="1" t="str">
        <v>Furniture/Equipment</v>
      </c>
      <c r="R842">
        <v>2</v>
      </c>
      <c r="S842" s="2" t="s">
        <v>35</v>
      </c>
    </row>
    <row r="843" spans="1:19" x14ac:dyDescent="0.35">
      <c r="A843">
        <v>28</v>
      </c>
      <c r="B843" s="2" t="s">
        <v>38</v>
      </c>
      <c r="C843" t="s">
        <v>19</v>
      </c>
      <c r="D843" s="1" t="str">
        <v>Male</v>
      </c>
      <c r="E843">
        <v>1</v>
      </c>
      <c r="F843" t="s">
        <v>21</v>
      </c>
      <c r="G843" t="s">
        <v>24</v>
      </c>
      <c r="H843" t="s">
        <v>10</v>
      </c>
      <c r="I843">
        <v>2993</v>
      </c>
      <c r="J843" s="2" t="s">
        <v>43</v>
      </c>
      <c r="K843" s="1" t="str">
        <f t="shared" si="39"/>
        <v>Clean</v>
      </c>
      <c r="L843" s="1" t="b">
        <v>1</v>
      </c>
      <c r="M843" s="1" t="str">
        <f t="shared" si="40"/>
        <v>Valid</v>
      </c>
      <c r="N843">
        <v>21</v>
      </c>
      <c r="O843" s="1" t="str">
        <f t="shared" si="41"/>
        <v>Valid</v>
      </c>
      <c r="P843" t="s">
        <v>14</v>
      </c>
      <c r="Q843" s="1" t="str">
        <v>Car</v>
      </c>
      <c r="R843">
        <v>1</v>
      </c>
      <c r="S843" s="2" t="s">
        <v>34</v>
      </c>
    </row>
    <row r="844" spans="1:19" x14ac:dyDescent="0.35">
      <c r="A844">
        <v>23</v>
      </c>
      <c r="B844" s="2" t="s">
        <v>38</v>
      </c>
      <c r="C844" t="s">
        <v>20</v>
      </c>
      <c r="D844" s="1" t="str">
        <v>Female</v>
      </c>
      <c r="E844">
        <v>2</v>
      </c>
      <c r="F844" t="s">
        <v>21</v>
      </c>
      <c r="G844" t="s">
        <v>24</v>
      </c>
      <c r="H844" t="s">
        <v>10</v>
      </c>
      <c r="I844">
        <v>1943</v>
      </c>
      <c r="J844" s="2" t="s">
        <v>41</v>
      </c>
      <c r="K844" s="1" t="str">
        <f t="shared" si="39"/>
        <v>Has Spaces</v>
      </c>
      <c r="L844" s="1" t="b">
        <v>1</v>
      </c>
      <c r="M844" s="1" t="str">
        <f t="shared" si="40"/>
        <v>Valid</v>
      </c>
      <c r="N844">
        <v>18</v>
      </c>
      <c r="O844" s="1" t="str">
        <f t="shared" si="41"/>
        <v>Valid</v>
      </c>
      <c r="P844" t="s">
        <v>17</v>
      </c>
      <c r="Q844" s="1" t="str">
        <v>Repairs</v>
      </c>
      <c r="R844">
        <v>2</v>
      </c>
      <c r="S844" s="2" t="s">
        <v>35</v>
      </c>
    </row>
    <row r="845" spans="1:19" x14ac:dyDescent="0.35">
      <c r="A845">
        <v>50</v>
      </c>
      <c r="B845" s="2" t="s">
        <v>37</v>
      </c>
      <c r="C845" t="s">
        <v>19</v>
      </c>
      <c r="D845" s="1" t="str">
        <v>Male</v>
      </c>
      <c r="E845">
        <v>2</v>
      </c>
      <c r="F845" t="s">
        <v>21</v>
      </c>
      <c r="G845" t="s">
        <v>24</v>
      </c>
      <c r="H845" t="s">
        <v>10</v>
      </c>
      <c r="I845">
        <v>1559</v>
      </c>
      <c r="J845" s="2" t="s">
        <v>41</v>
      </c>
      <c r="K845" s="1" t="str">
        <f t="shared" si="39"/>
        <v>Has Spaces</v>
      </c>
      <c r="L845" s="1" t="b">
        <v>1</v>
      </c>
      <c r="M845" s="1" t="str">
        <f t="shared" si="40"/>
        <v>Valid</v>
      </c>
      <c r="N845">
        <v>24</v>
      </c>
      <c r="O845" s="1" t="str">
        <f t="shared" si="41"/>
        <v>Valid</v>
      </c>
      <c r="P845" t="s">
        <v>15</v>
      </c>
      <c r="Q845" s="1" t="str">
        <v>Business</v>
      </c>
      <c r="R845">
        <v>1</v>
      </c>
      <c r="S845" s="2" t="s">
        <v>34</v>
      </c>
    </row>
    <row r="846" spans="1:19" x14ac:dyDescent="0.35">
      <c r="A846">
        <v>47</v>
      </c>
      <c r="B846" s="2" t="s">
        <v>39</v>
      </c>
      <c r="C846" t="s">
        <v>19</v>
      </c>
      <c r="D846" s="1" t="str">
        <v>Male</v>
      </c>
      <c r="E846">
        <v>2</v>
      </c>
      <c r="F846" t="s">
        <v>21</v>
      </c>
      <c r="G846" t="s">
        <v>24</v>
      </c>
      <c r="H846" t="s">
        <v>10</v>
      </c>
      <c r="I846">
        <v>3422</v>
      </c>
      <c r="J846" s="2" t="s">
        <v>43</v>
      </c>
      <c r="K846" s="1" t="str">
        <f t="shared" si="39"/>
        <v>Clean</v>
      </c>
      <c r="L846" s="1" t="b">
        <v>1</v>
      </c>
      <c r="M846" s="1" t="str">
        <f t="shared" si="40"/>
        <v>Valid</v>
      </c>
      <c r="N846">
        <v>18</v>
      </c>
      <c r="O846" s="1" t="str">
        <f t="shared" si="41"/>
        <v>Valid</v>
      </c>
      <c r="P846" t="s">
        <v>13</v>
      </c>
      <c r="Q846" s="1" t="str">
        <v>Furniture/Equipment</v>
      </c>
      <c r="R846">
        <v>1</v>
      </c>
      <c r="S846" s="2" t="s">
        <v>34</v>
      </c>
    </row>
    <row r="847" spans="1:19" x14ac:dyDescent="0.35">
      <c r="A847">
        <v>35</v>
      </c>
      <c r="B847" s="2" t="s">
        <v>39</v>
      </c>
      <c r="C847" t="s">
        <v>19</v>
      </c>
      <c r="D847" s="1" t="str">
        <v>Male</v>
      </c>
      <c r="E847">
        <v>2</v>
      </c>
      <c r="F847" t="s">
        <v>21</v>
      </c>
      <c r="G847" t="s">
        <v>10</v>
      </c>
      <c r="H847" t="s">
        <v>27</v>
      </c>
      <c r="I847">
        <v>3976</v>
      </c>
      <c r="J847" s="2" t="s">
        <v>43</v>
      </c>
      <c r="K847" s="1" t="str">
        <f t="shared" si="39"/>
        <v>Clean</v>
      </c>
      <c r="L847" s="1" t="b">
        <v>1</v>
      </c>
      <c r="M847" s="1" t="str">
        <f t="shared" si="40"/>
        <v>Valid</v>
      </c>
      <c r="N847">
        <v>21</v>
      </c>
      <c r="O847" s="1" t="str">
        <f t="shared" si="41"/>
        <v>Valid</v>
      </c>
      <c r="P847" t="s">
        <v>13</v>
      </c>
      <c r="Q847" s="1" t="str">
        <v>Furniture/Equipment</v>
      </c>
      <c r="R847">
        <v>1</v>
      </c>
      <c r="S847" s="2" t="s">
        <v>34</v>
      </c>
    </row>
    <row r="848" spans="1:19" x14ac:dyDescent="0.35">
      <c r="A848">
        <v>68</v>
      </c>
      <c r="B848" s="2" t="s">
        <v>37</v>
      </c>
      <c r="C848" t="s">
        <v>19</v>
      </c>
      <c r="D848" s="1" t="str">
        <v>Male</v>
      </c>
      <c r="E848">
        <v>2</v>
      </c>
      <c r="F848" t="s">
        <v>23</v>
      </c>
      <c r="G848" t="s">
        <v>10</v>
      </c>
      <c r="H848" t="s">
        <v>10</v>
      </c>
      <c r="I848">
        <v>6761</v>
      </c>
      <c r="J848" s="2" t="s">
        <v>42</v>
      </c>
      <c r="K848" s="1" t="str">
        <f t="shared" si="39"/>
        <v>Clean</v>
      </c>
      <c r="L848" s="1" t="b">
        <v>1</v>
      </c>
      <c r="M848" s="1" t="str">
        <f t="shared" si="40"/>
        <v>Valid</v>
      </c>
      <c r="N848">
        <v>18</v>
      </c>
      <c r="O848" s="1" t="str">
        <f t="shared" si="41"/>
        <v>Valid</v>
      </c>
      <c r="P848" t="s">
        <v>14</v>
      </c>
      <c r="Q848" s="1" t="str">
        <v>Car</v>
      </c>
      <c r="R848">
        <v>2</v>
      </c>
      <c r="S848" s="2" t="s">
        <v>35</v>
      </c>
    </row>
    <row r="849" spans="1:19" x14ac:dyDescent="0.35">
      <c r="A849">
        <v>28</v>
      </c>
      <c r="B849" s="2" t="s">
        <v>38</v>
      </c>
      <c r="C849" t="s">
        <v>19</v>
      </c>
      <c r="D849" s="1" t="str">
        <v>Male</v>
      </c>
      <c r="E849">
        <v>2</v>
      </c>
      <c r="F849" t="s">
        <v>21</v>
      </c>
      <c r="G849" t="s">
        <v>24</v>
      </c>
      <c r="H849" t="s">
        <v>10</v>
      </c>
      <c r="I849">
        <v>1249</v>
      </c>
      <c r="J849" s="2" t="s">
        <v>41</v>
      </c>
      <c r="K849" s="1" t="str">
        <f t="shared" si="39"/>
        <v>Has Spaces</v>
      </c>
      <c r="L849" s="1" t="b">
        <v>1</v>
      </c>
      <c r="M849" s="1" t="str">
        <f t="shared" si="40"/>
        <v>Valid</v>
      </c>
      <c r="N849">
        <v>24</v>
      </c>
      <c r="O849" s="1" t="str">
        <f t="shared" si="41"/>
        <v>Valid</v>
      </c>
      <c r="P849" t="s">
        <v>14</v>
      </c>
      <c r="Q849" s="1" t="str">
        <v>Car</v>
      </c>
      <c r="R849">
        <v>1</v>
      </c>
      <c r="S849" s="2" t="s">
        <v>34</v>
      </c>
    </row>
    <row r="850" spans="1:19" x14ac:dyDescent="0.35">
      <c r="A850">
        <v>59</v>
      </c>
      <c r="B850" s="2" t="s">
        <v>37</v>
      </c>
      <c r="C850" t="s">
        <v>19</v>
      </c>
      <c r="D850" s="1" t="str">
        <v>Male</v>
      </c>
      <c r="E850">
        <v>2</v>
      </c>
      <c r="F850" t="s">
        <v>21</v>
      </c>
      <c r="G850" t="s">
        <v>24</v>
      </c>
      <c r="H850" t="s">
        <v>24</v>
      </c>
      <c r="I850">
        <v>1364</v>
      </c>
      <c r="J850" s="2" t="s">
        <v>41</v>
      </c>
      <c r="K850" s="1" t="str">
        <f t="shared" si="39"/>
        <v>Has Spaces</v>
      </c>
      <c r="L850" s="1" t="b">
        <v>1</v>
      </c>
      <c r="M850" s="1" t="str">
        <f t="shared" si="40"/>
        <v>Valid</v>
      </c>
      <c r="N850">
        <v>9</v>
      </c>
      <c r="O850" s="1" t="str">
        <f t="shared" si="41"/>
        <v>Valid</v>
      </c>
      <c r="P850" t="s">
        <v>11</v>
      </c>
      <c r="Q850" s="1" t="str">
        <v>Radio/Tv</v>
      </c>
      <c r="R850">
        <v>1</v>
      </c>
      <c r="S850" s="2" t="s">
        <v>34</v>
      </c>
    </row>
    <row r="851" spans="1:19" x14ac:dyDescent="0.35">
      <c r="A851">
        <v>57</v>
      </c>
      <c r="B851" s="2" t="s">
        <v>37</v>
      </c>
      <c r="C851" t="s">
        <v>19</v>
      </c>
      <c r="D851" s="1" t="str">
        <v>Male</v>
      </c>
      <c r="E851">
        <v>1</v>
      </c>
      <c r="F851" t="s">
        <v>21</v>
      </c>
      <c r="G851" t="s">
        <v>24</v>
      </c>
      <c r="H851" t="s">
        <v>24</v>
      </c>
      <c r="I851">
        <v>709</v>
      </c>
      <c r="J851" s="2" t="s">
        <v>41</v>
      </c>
      <c r="K851" s="1" t="str">
        <f t="shared" si="39"/>
        <v>Has Spaces</v>
      </c>
      <c r="L851" s="1" t="b">
        <v>1</v>
      </c>
      <c r="M851" s="1" t="str">
        <f t="shared" si="40"/>
        <v>Valid</v>
      </c>
      <c r="N851">
        <v>12</v>
      </c>
      <c r="O851" s="1" t="str">
        <f t="shared" si="41"/>
        <v>Valid</v>
      </c>
      <c r="P851" t="s">
        <v>11</v>
      </c>
      <c r="Q851" s="1" t="str">
        <v>Radio/Tv</v>
      </c>
      <c r="R851">
        <v>2</v>
      </c>
      <c r="S851" s="2" t="s">
        <v>35</v>
      </c>
    </row>
    <row r="852" spans="1:19" x14ac:dyDescent="0.35">
      <c r="A852">
        <v>33</v>
      </c>
      <c r="B852" s="2" t="s">
        <v>39</v>
      </c>
      <c r="C852" t="s">
        <v>19</v>
      </c>
      <c r="D852" s="1" t="str">
        <v>Male</v>
      </c>
      <c r="E852">
        <v>2</v>
      </c>
      <c r="F852" t="s">
        <v>23</v>
      </c>
      <c r="G852" t="s">
        <v>24</v>
      </c>
      <c r="H852" t="s">
        <v>24</v>
      </c>
      <c r="I852">
        <v>2235</v>
      </c>
      <c r="J852" s="2" t="s">
        <v>43</v>
      </c>
      <c r="K852" s="1" t="str">
        <f t="shared" si="39"/>
        <v>Clean</v>
      </c>
      <c r="L852" s="1" t="b">
        <v>1</v>
      </c>
      <c r="M852" s="1" t="str">
        <f t="shared" si="40"/>
        <v>Valid</v>
      </c>
      <c r="N852">
        <v>20</v>
      </c>
      <c r="O852" s="1" t="str">
        <f t="shared" si="41"/>
        <v>Valid</v>
      </c>
      <c r="P852" t="s">
        <v>14</v>
      </c>
      <c r="Q852" s="1" t="str">
        <v>Car</v>
      </c>
      <c r="R852">
        <v>2</v>
      </c>
      <c r="S852" s="2" t="s">
        <v>35</v>
      </c>
    </row>
    <row r="853" spans="1:19" x14ac:dyDescent="0.35">
      <c r="A853">
        <v>43</v>
      </c>
      <c r="B853" s="2" t="s">
        <v>39</v>
      </c>
      <c r="C853" t="s">
        <v>19</v>
      </c>
      <c r="D853" s="1" t="str">
        <v>Male</v>
      </c>
      <c r="E853">
        <v>2</v>
      </c>
      <c r="F853" t="s">
        <v>21</v>
      </c>
      <c r="G853" t="s">
        <v>10</v>
      </c>
      <c r="H853" t="s">
        <v>10</v>
      </c>
      <c r="I853">
        <v>4042</v>
      </c>
      <c r="J853" s="2" t="s">
        <v>43</v>
      </c>
      <c r="K853" s="1" t="str">
        <f t="shared" si="39"/>
        <v>Clean</v>
      </c>
      <c r="L853" s="1" t="b">
        <v>1</v>
      </c>
      <c r="M853" s="1" t="str">
        <f t="shared" si="40"/>
        <v>Valid</v>
      </c>
      <c r="N853">
        <v>24</v>
      </c>
      <c r="O853" s="1" t="str">
        <f t="shared" si="41"/>
        <v>Valid</v>
      </c>
      <c r="P853" t="s">
        <v>14</v>
      </c>
      <c r="Q853" s="1" t="str">
        <v>Car</v>
      </c>
      <c r="R853">
        <v>1</v>
      </c>
      <c r="S853" s="2" t="s">
        <v>34</v>
      </c>
    </row>
    <row r="854" spans="1:19" x14ac:dyDescent="0.35">
      <c r="A854">
        <v>35</v>
      </c>
      <c r="B854" s="2" t="s">
        <v>39</v>
      </c>
      <c r="C854" t="s">
        <v>19</v>
      </c>
      <c r="D854" s="1" t="str">
        <v>Male</v>
      </c>
      <c r="E854">
        <v>2</v>
      </c>
      <c r="F854" t="s">
        <v>22</v>
      </c>
      <c r="G854" t="s">
        <v>24</v>
      </c>
      <c r="H854" t="s">
        <v>10</v>
      </c>
      <c r="I854">
        <v>1471</v>
      </c>
      <c r="J854" s="2" t="s">
        <v>41</v>
      </c>
      <c r="K854" s="1" t="str">
        <f t="shared" si="39"/>
        <v>Has Spaces</v>
      </c>
      <c r="L854" s="1" t="b">
        <v>1</v>
      </c>
      <c r="M854" s="1" t="str">
        <f t="shared" si="40"/>
        <v>Valid</v>
      </c>
      <c r="N854">
        <v>15</v>
      </c>
      <c r="O854" s="1" t="str">
        <f t="shared" si="41"/>
        <v>Valid</v>
      </c>
      <c r="P854" t="s">
        <v>11</v>
      </c>
      <c r="Q854" s="1" t="str">
        <v>Radio/Tv</v>
      </c>
      <c r="R854">
        <v>1</v>
      </c>
      <c r="S854" s="2" t="s">
        <v>34</v>
      </c>
    </row>
    <row r="855" spans="1:19" x14ac:dyDescent="0.35">
      <c r="A855">
        <v>32</v>
      </c>
      <c r="B855" s="2" t="s">
        <v>39</v>
      </c>
      <c r="C855" t="s">
        <v>19</v>
      </c>
      <c r="D855" s="1" t="str">
        <v>Male</v>
      </c>
      <c r="E855">
        <v>1</v>
      </c>
      <c r="F855" t="s">
        <v>22</v>
      </c>
      <c r="G855" t="s">
        <v>24</v>
      </c>
      <c r="H855" t="s">
        <v>24</v>
      </c>
      <c r="I855">
        <v>1442</v>
      </c>
      <c r="J855" s="2" t="s">
        <v>41</v>
      </c>
      <c r="K855" s="1" t="str">
        <f t="shared" si="39"/>
        <v>Has Spaces</v>
      </c>
      <c r="L855" s="1" t="b">
        <v>1</v>
      </c>
      <c r="M855" s="1" t="str">
        <f t="shared" si="40"/>
        <v>Valid</v>
      </c>
      <c r="N855">
        <v>18</v>
      </c>
      <c r="O855" s="1" t="str">
        <f t="shared" si="41"/>
        <v>Valid</v>
      </c>
      <c r="P855" t="s">
        <v>14</v>
      </c>
      <c r="Q855" s="1" t="str">
        <v>Car</v>
      </c>
      <c r="R855">
        <v>2</v>
      </c>
      <c r="S855" s="2" t="s">
        <v>35</v>
      </c>
    </row>
    <row r="856" spans="1:19" x14ac:dyDescent="0.35">
      <c r="A856">
        <v>45</v>
      </c>
      <c r="B856" s="2" t="s">
        <v>39</v>
      </c>
      <c r="C856" t="s">
        <v>19</v>
      </c>
      <c r="D856" s="1" t="str">
        <v>Male</v>
      </c>
      <c r="E856">
        <v>2</v>
      </c>
      <c r="F856" t="s">
        <v>21</v>
      </c>
      <c r="G856" t="s">
        <v>24</v>
      </c>
      <c r="H856" t="s">
        <v>10</v>
      </c>
      <c r="I856">
        <v>10875</v>
      </c>
      <c r="J856" s="2" t="s">
        <v>42</v>
      </c>
      <c r="K856" s="1" t="str">
        <f t="shared" si="39"/>
        <v>Clean</v>
      </c>
      <c r="L856" s="1" t="b">
        <v>1</v>
      </c>
      <c r="M856" s="1" t="str">
        <f t="shared" si="40"/>
        <v>Valid</v>
      </c>
      <c r="N856">
        <v>36</v>
      </c>
      <c r="O856" s="1" t="str">
        <f t="shared" si="41"/>
        <v>Valid</v>
      </c>
      <c r="P856" t="s">
        <v>14</v>
      </c>
      <c r="Q856" s="1" t="str">
        <v>Car</v>
      </c>
      <c r="R856">
        <v>1</v>
      </c>
      <c r="S856" s="2" t="s">
        <v>34</v>
      </c>
    </row>
    <row r="857" spans="1:19" x14ac:dyDescent="0.35">
      <c r="A857">
        <v>33</v>
      </c>
      <c r="B857" s="2" t="s">
        <v>39</v>
      </c>
      <c r="C857" t="s">
        <v>19</v>
      </c>
      <c r="D857" s="1" t="str">
        <v>Male</v>
      </c>
      <c r="E857">
        <v>2</v>
      </c>
      <c r="F857" t="s">
        <v>21</v>
      </c>
      <c r="G857" t="s">
        <v>27</v>
      </c>
      <c r="H857" t="s">
        <v>10</v>
      </c>
      <c r="I857">
        <v>1474</v>
      </c>
      <c r="J857" s="2" t="s">
        <v>41</v>
      </c>
      <c r="K857" s="1" t="str">
        <f t="shared" si="39"/>
        <v>Has Spaces</v>
      </c>
      <c r="L857" s="1" t="b">
        <v>1</v>
      </c>
      <c r="M857" s="1" t="str">
        <f t="shared" si="40"/>
        <v>Valid</v>
      </c>
      <c r="N857">
        <v>24</v>
      </c>
      <c r="O857" s="1" t="str">
        <f t="shared" si="41"/>
        <v>Valid</v>
      </c>
      <c r="P857" t="s">
        <v>14</v>
      </c>
      <c r="Q857" s="1" t="str">
        <v>Car</v>
      </c>
      <c r="R857">
        <v>1</v>
      </c>
      <c r="S857" s="2" t="s">
        <v>34</v>
      </c>
    </row>
    <row r="858" spans="1:19" x14ac:dyDescent="0.35">
      <c r="A858">
        <v>40</v>
      </c>
      <c r="B858" s="2" t="s">
        <v>39</v>
      </c>
      <c r="C858" t="s">
        <v>20</v>
      </c>
      <c r="D858" s="1" t="str">
        <v>Female</v>
      </c>
      <c r="E858">
        <v>2</v>
      </c>
      <c r="F858" t="s">
        <v>21</v>
      </c>
      <c r="G858" t="s">
        <v>10</v>
      </c>
      <c r="H858" t="s">
        <v>10</v>
      </c>
      <c r="I858">
        <v>894</v>
      </c>
      <c r="J858" s="2" t="s">
        <v>41</v>
      </c>
      <c r="K858" s="1" t="str">
        <f t="shared" si="39"/>
        <v>Has Spaces</v>
      </c>
      <c r="L858" s="1" t="b">
        <v>1</v>
      </c>
      <c r="M858" s="1" t="str">
        <f t="shared" si="40"/>
        <v>Valid</v>
      </c>
      <c r="N858">
        <v>10</v>
      </c>
      <c r="O858" s="1" t="str">
        <f t="shared" si="41"/>
        <v>Valid</v>
      </c>
      <c r="P858" t="s">
        <v>12</v>
      </c>
      <c r="Q858" s="1" t="str">
        <v>Education</v>
      </c>
      <c r="R858">
        <v>1</v>
      </c>
      <c r="S858" s="2" t="s">
        <v>34</v>
      </c>
    </row>
    <row r="859" spans="1:19" x14ac:dyDescent="0.35">
      <c r="A859">
        <v>28</v>
      </c>
      <c r="B859" s="2" t="s">
        <v>38</v>
      </c>
      <c r="C859" t="s">
        <v>19</v>
      </c>
      <c r="D859" s="1" t="str">
        <v>Male</v>
      </c>
      <c r="E859">
        <v>2</v>
      </c>
      <c r="F859" t="s">
        <v>22</v>
      </c>
      <c r="G859" t="s">
        <v>24</v>
      </c>
      <c r="H859" t="s">
        <v>10</v>
      </c>
      <c r="I859">
        <v>3343</v>
      </c>
      <c r="J859" s="2" t="s">
        <v>43</v>
      </c>
      <c r="K859" s="1" t="str">
        <f t="shared" si="39"/>
        <v>Clean</v>
      </c>
      <c r="L859" s="1" t="b">
        <v>1</v>
      </c>
      <c r="M859" s="1" t="str">
        <f t="shared" si="40"/>
        <v>Valid</v>
      </c>
      <c r="N859">
        <v>15</v>
      </c>
      <c r="O859" s="1" t="str">
        <f t="shared" si="41"/>
        <v>Valid</v>
      </c>
      <c r="P859" t="s">
        <v>13</v>
      </c>
      <c r="Q859" s="1" t="str">
        <v>Furniture/Equipment</v>
      </c>
      <c r="R859">
        <v>1</v>
      </c>
      <c r="S859" s="2" t="s">
        <v>34</v>
      </c>
    </row>
    <row r="860" spans="1:19" x14ac:dyDescent="0.35">
      <c r="A860">
        <v>29</v>
      </c>
      <c r="B860" s="2" t="s">
        <v>38</v>
      </c>
      <c r="C860" t="s">
        <v>20</v>
      </c>
      <c r="D860" s="1" t="str">
        <v>Female</v>
      </c>
      <c r="E860">
        <v>2</v>
      </c>
      <c r="F860" t="s">
        <v>21</v>
      </c>
      <c r="G860" t="s">
        <v>24</v>
      </c>
      <c r="H860" t="s">
        <v>24</v>
      </c>
      <c r="I860">
        <v>3959</v>
      </c>
      <c r="J860" s="2" t="s">
        <v>43</v>
      </c>
      <c r="K860" s="1" t="str">
        <f t="shared" si="39"/>
        <v>Clean</v>
      </c>
      <c r="L860" s="1" t="b">
        <v>1</v>
      </c>
      <c r="M860" s="1" t="str">
        <f t="shared" si="40"/>
        <v>Valid</v>
      </c>
      <c r="N860">
        <v>15</v>
      </c>
      <c r="O860" s="1" t="str">
        <f t="shared" si="41"/>
        <v>Valid</v>
      </c>
      <c r="P860" t="s">
        <v>14</v>
      </c>
      <c r="Q860" s="1" t="str">
        <v>Car</v>
      </c>
      <c r="R860">
        <v>2</v>
      </c>
      <c r="S860" s="2" t="s">
        <v>35</v>
      </c>
    </row>
    <row r="861" spans="1:19" x14ac:dyDescent="0.35">
      <c r="A861">
        <v>26</v>
      </c>
      <c r="B861" s="2" t="s">
        <v>38</v>
      </c>
      <c r="C861" t="s">
        <v>19</v>
      </c>
      <c r="D861" s="1" t="str">
        <v>Male</v>
      </c>
      <c r="E861">
        <v>2</v>
      </c>
      <c r="F861" t="s">
        <v>23</v>
      </c>
      <c r="G861" t="s">
        <v>27</v>
      </c>
      <c r="H861" t="s">
        <v>10</v>
      </c>
      <c r="I861">
        <v>3577</v>
      </c>
      <c r="J861" s="2" t="s">
        <v>43</v>
      </c>
      <c r="K861" s="1" t="str">
        <f t="shared" si="39"/>
        <v>Clean</v>
      </c>
      <c r="L861" s="1" t="b">
        <v>1</v>
      </c>
      <c r="M861" s="1" t="str">
        <f t="shared" si="40"/>
        <v>Valid</v>
      </c>
      <c r="N861">
        <v>9</v>
      </c>
      <c r="O861" s="1" t="str">
        <f t="shared" si="41"/>
        <v>Valid</v>
      </c>
      <c r="P861" t="s">
        <v>14</v>
      </c>
      <c r="Q861" s="1" t="str">
        <v>Car</v>
      </c>
      <c r="R861">
        <v>1</v>
      </c>
      <c r="S861" s="2" t="s">
        <v>34</v>
      </c>
    </row>
    <row r="862" spans="1:19" x14ac:dyDescent="0.35">
      <c r="A862">
        <v>27</v>
      </c>
      <c r="B862" s="2" t="s">
        <v>38</v>
      </c>
      <c r="C862" t="s">
        <v>19</v>
      </c>
      <c r="D862" s="1" t="str">
        <v>Male</v>
      </c>
      <c r="E862">
        <v>2</v>
      </c>
      <c r="F862" t="s">
        <v>21</v>
      </c>
      <c r="G862" t="s">
        <v>26</v>
      </c>
      <c r="H862" t="s">
        <v>10</v>
      </c>
      <c r="I862">
        <v>5804</v>
      </c>
      <c r="J862" s="2" t="s">
        <v>42</v>
      </c>
      <c r="K862" s="1" t="str">
        <f t="shared" si="39"/>
        <v>Clean</v>
      </c>
      <c r="L862" s="1" t="b">
        <v>1</v>
      </c>
      <c r="M862" s="1" t="str">
        <f t="shared" si="40"/>
        <v>Valid</v>
      </c>
      <c r="N862">
        <v>24</v>
      </c>
      <c r="O862" s="1" t="str">
        <f t="shared" si="41"/>
        <v>Valid</v>
      </c>
      <c r="P862" t="s">
        <v>14</v>
      </c>
      <c r="Q862" s="1" t="str">
        <v>Car</v>
      </c>
      <c r="R862">
        <v>1</v>
      </c>
      <c r="S862" s="2" t="s">
        <v>34</v>
      </c>
    </row>
    <row r="863" spans="1:19" x14ac:dyDescent="0.35">
      <c r="A863">
        <v>28</v>
      </c>
      <c r="B863" s="2" t="s">
        <v>38</v>
      </c>
      <c r="C863" t="s">
        <v>19</v>
      </c>
      <c r="D863" s="1" t="str">
        <v>Male</v>
      </c>
      <c r="E863">
        <v>2</v>
      </c>
      <c r="F863" t="s">
        <v>21</v>
      </c>
      <c r="G863" t="s">
        <v>24</v>
      </c>
      <c r="H863" t="s">
        <v>10</v>
      </c>
      <c r="I863">
        <v>2169</v>
      </c>
      <c r="J863" s="2" t="s">
        <v>43</v>
      </c>
      <c r="K863" s="1" t="str">
        <f t="shared" si="39"/>
        <v>Clean</v>
      </c>
      <c r="L863" s="1" t="b">
        <v>1</v>
      </c>
      <c r="M863" s="1" t="str">
        <f t="shared" si="40"/>
        <v>Valid</v>
      </c>
      <c r="N863">
        <v>18</v>
      </c>
      <c r="O863" s="1" t="str">
        <f t="shared" si="41"/>
        <v>Valid</v>
      </c>
      <c r="P863" t="s">
        <v>15</v>
      </c>
      <c r="Q863" s="1" t="str">
        <v>Business</v>
      </c>
      <c r="R863">
        <v>2</v>
      </c>
      <c r="S863" s="2" t="s">
        <v>35</v>
      </c>
    </row>
    <row r="864" spans="1:19" x14ac:dyDescent="0.35">
      <c r="A864">
        <v>35</v>
      </c>
      <c r="B864" s="2" t="s">
        <v>39</v>
      </c>
      <c r="C864" t="s">
        <v>20</v>
      </c>
      <c r="D864" s="1" t="str">
        <v>Female</v>
      </c>
      <c r="E864">
        <v>2</v>
      </c>
      <c r="F864" t="s">
        <v>21</v>
      </c>
      <c r="G864" t="s">
        <v>24</v>
      </c>
      <c r="H864" t="s">
        <v>24</v>
      </c>
      <c r="I864">
        <v>2439</v>
      </c>
      <c r="J864" s="2" t="s">
        <v>43</v>
      </c>
      <c r="K864" s="1" t="str">
        <f t="shared" si="39"/>
        <v>Clean</v>
      </c>
      <c r="L864" s="1" t="b">
        <v>1</v>
      </c>
      <c r="M864" s="1" t="str">
        <f t="shared" si="40"/>
        <v>Valid</v>
      </c>
      <c r="N864">
        <v>24</v>
      </c>
      <c r="O864" s="1" t="str">
        <f t="shared" si="41"/>
        <v>Valid</v>
      </c>
      <c r="P864" t="s">
        <v>11</v>
      </c>
      <c r="Q864" s="1" t="str">
        <v>Radio/Tv</v>
      </c>
      <c r="R864">
        <v>2</v>
      </c>
      <c r="S864" s="2" t="s">
        <v>35</v>
      </c>
    </row>
    <row r="865" spans="1:19" x14ac:dyDescent="0.35">
      <c r="A865">
        <v>32</v>
      </c>
      <c r="B865" s="2" t="s">
        <v>39</v>
      </c>
      <c r="C865" t="s">
        <v>19</v>
      </c>
      <c r="D865" s="1" t="str">
        <v>Male</v>
      </c>
      <c r="E865">
        <v>1</v>
      </c>
      <c r="F865" t="s">
        <v>21</v>
      </c>
      <c r="G865" t="s">
        <v>26</v>
      </c>
      <c r="H865" t="s">
        <v>10</v>
      </c>
      <c r="I865">
        <v>4526</v>
      </c>
      <c r="J865" s="2" t="s">
        <v>43</v>
      </c>
      <c r="K865" s="1" t="str">
        <f t="shared" si="39"/>
        <v>Clean</v>
      </c>
      <c r="L865" s="1" t="b">
        <v>1</v>
      </c>
      <c r="M865" s="1" t="str">
        <f t="shared" si="40"/>
        <v>Valid</v>
      </c>
      <c r="N865">
        <v>27</v>
      </c>
      <c r="O865" s="1" t="str">
        <f t="shared" si="41"/>
        <v>Valid</v>
      </c>
      <c r="P865" t="s">
        <v>13</v>
      </c>
      <c r="Q865" s="1" t="str">
        <v>Furniture/Equipment</v>
      </c>
      <c r="R865">
        <v>1</v>
      </c>
      <c r="S865" s="2" t="s">
        <v>34</v>
      </c>
    </row>
    <row r="866" spans="1:19" x14ac:dyDescent="0.35">
      <c r="A866">
        <v>25</v>
      </c>
      <c r="B866" s="2" t="s">
        <v>38</v>
      </c>
      <c r="C866" t="s">
        <v>19</v>
      </c>
      <c r="D866" s="1" t="str">
        <v>Male</v>
      </c>
      <c r="E866">
        <v>1</v>
      </c>
      <c r="F866" t="s">
        <v>23</v>
      </c>
      <c r="G866" t="s">
        <v>24</v>
      </c>
      <c r="H866" t="s">
        <v>10</v>
      </c>
      <c r="I866">
        <v>2210</v>
      </c>
      <c r="J866" s="2" t="s">
        <v>43</v>
      </c>
      <c r="K866" s="1" t="str">
        <f t="shared" si="39"/>
        <v>Clean</v>
      </c>
      <c r="L866" s="1" t="b">
        <v>1</v>
      </c>
      <c r="M866" s="1" t="str">
        <f t="shared" si="40"/>
        <v>Valid</v>
      </c>
      <c r="N866">
        <v>10</v>
      </c>
      <c r="O866" s="1" t="str">
        <f t="shared" si="41"/>
        <v>Valid</v>
      </c>
      <c r="P866" t="s">
        <v>13</v>
      </c>
      <c r="Q866" s="1" t="str">
        <v>Furniture/Equipment</v>
      </c>
      <c r="R866">
        <v>2</v>
      </c>
      <c r="S866" s="2" t="s">
        <v>35</v>
      </c>
    </row>
    <row r="867" spans="1:19" x14ac:dyDescent="0.35">
      <c r="A867">
        <v>20</v>
      </c>
      <c r="B867" s="2" t="s">
        <v>38</v>
      </c>
      <c r="C867" t="s">
        <v>20</v>
      </c>
      <c r="D867" s="1" t="str">
        <v>Female</v>
      </c>
      <c r="E867">
        <v>2</v>
      </c>
      <c r="F867" t="s">
        <v>23</v>
      </c>
      <c r="G867" t="s">
        <v>25</v>
      </c>
      <c r="H867" t="s">
        <v>10</v>
      </c>
      <c r="I867">
        <v>2221</v>
      </c>
      <c r="J867" s="2" t="s">
        <v>43</v>
      </c>
      <c r="K867" s="1" t="str">
        <f t="shared" si="39"/>
        <v>Clean</v>
      </c>
      <c r="L867" s="1" t="b">
        <v>1</v>
      </c>
      <c r="M867" s="1" t="str">
        <f t="shared" si="40"/>
        <v>Valid</v>
      </c>
      <c r="N867">
        <v>15</v>
      </c>
      <c r="O867" s="1" t="str">
        <f t="shared" si="41"/>
        <v>Valid</v>
      </c>
      <c r="P867" t="s">
        <v>13</v>
      </c>
      <c r="Q867" s="1" t="str">
        <v>Furniture/Equipment</v>
      </c>
      <c r="R867">
        <v>1</v>
      </c>
      <c r="S867" s="2" t="s">
        <v>34</v>
      </c>
    </row>
    <row r="868" spans="1:19" x14ac:dyDescent="0.35">
      <c r="A868">
        <v>27</v>
      </c>
      <c r="B868" s="2" t="s">
        <v>38</v>
      </c>
      <c r="C868" t="s">
        <v>20</v>
      </c>
      <c r="D868" s="1" t="str">
        <v>Female</v>
      </c>
      <c r="E868">
        <v>2</v>
      </c>
      <c r="F868" t="s">
        <v>21</v>
      </c>
      <c r="G868" t="s">
        <v>24</v>
      </c>
      <c r="H868" t="s">
        <v>24</v>
      </c>
      <c r="I868">
        <v>2389</v>
      </c>
      <c r="J868" s="2" t="s">
        <v>43</v>
      </c>
      <c r="K868" s="1" t="str">
        <f t="shared" si="39"/>
        <v>Clean</v>
      </c>
      <c r="L868" s="1" t="b">
        <v>1</v>
      </c>
      <c r="M868" s="1" t="str">
        <f t="shared" si="40"/>
        <v>Valid</v>
      </c>
      <c r="N868">
        <v>18</v>
      </c>
      <c r="O868" s="1" t="str">
        <f t="shared" si="41"/>
        <v>Valid</v>
      </c>
      <c r="P868" t="s">
        <v>11</v>
      </c>
      <c r="Q868" s="1" t="str">
        <v>Radio/Tv</v>
      </c>
      <c r="R868">
        <v>1</v>
      </c>
      <c r="S868" s="2" t="s">
        <v>34</v>
      </c>
    </row>
    <row r="869" spans="1:19" x14ac:dyDescent="0.35">
      <c r="A869">
        <v>42</v>
      </c>
      <c r="B869" s="2" t="s">
        <v>39</v>
      </c>
      <c r="C869" t="s">
        <v>19</v>
      </c>
      <c r="D869" s="1" t="str">
        <v>Male</v>
      </c>
      <c r="E869">
        <v>2</v>
      </c>
      <c r="F869" t="s">
        <v>21</v>
      </c>
      <c r="G869" t="s">
        <v>24</v>
      </c>
      <c r="H869" t="s">
        <v>10</v>
      </c>
      <c r="I869">
        <v>3331</v>
      </c>
      <c r="J869" s="2" t="s">
        <v>43</v>
      </c>
      <c r="K869" s="1" t="str">
        <f t="shared" si="39"/>
        <v>Clean</v>
      </c>
      <c r="L869" s="1" t="b">
        <v>1</v>
      </c>
      <c r="M869" s="1" t="str">
        <f t="shared" si="40"/>
        <v>Valid</v>
      </c>
      <c r="N869">
        <v>12</v>
      </c>
      <c r="O869" s="1" t="str">
        <f t="shared" si="41"/>
        <v>Valid</v>
      </c>
      <c r="P869" t="s">
        <v>13</v>
      </c>
      <c r="Q869" s="1" t="str">
        <v>Furniture/Equipment</v>
      </c>
      <c r="R869">
        <v>1</v>
      </c>
      <c r="S869" s="2" t="s">
        <v>34</v>
      </c>
    </row>
    <row r="870" spans="1:19" x14ac:dyDescent="0.35">
      <c r="A870">
        <v>37</v>
      </c>
      <c r="B870" s="2" t="s">
        <v>39</v>
      </c>
      <c r="C870" t="s">
        <v>19</v>
      </c>
      <c r="D870" s="1" t="str">
        <v>Male</v>
      </c>
      <c r="E870">
        <v>2</v>
      </c>
      <c r="F870" t="s">
        <v>21</v>
      </c>
      <c r="G870" t="s">
        <v>10</v>
      </c>
      <c r="H870" t="s">
        <v>10</v>
      </c>
      <c r="I870">
        <v>7409</v>
      </c>
      <c r="J870" s="2" t="s">
        <v>42</v>
      </c>
      <c r="K870" s="1" t="str">
        <f t="shared" si="39"/>
        <v>Clean</v>
      </c>
      <c r="L870" s="1" t="b">
        <v>1</v>
      </c>
      <c r="M870" s="1" t="str">
        <f t="shared" si="40"/>
        <v>Valid</v>
      </c>
      <c r="N870">
        <v>36</v>
      </c>
      <c r="O870" s="1" t="str">
        <f t="shared" si="41"/>
        <v>Valid</v>
      </c>
      <c r="P870" t="s">
        <v>15</v>
      </c>
      <c r="Q870" s="1" t="str">
        <v>Business</v>
      </c>
      <c r="R870">
        <v>1</v>
      </c>
      <c r="S870" s="2" t="s">
        <v>34</v>
      </c>
    </row>
    <row r="871" spans="1:19" x14ac:dyDescent="0.35">
      <c r="A871">
        <v>24</v>
      </c>
      <c r="B871" s="2" t="s">
        <v>38</v>
      </c>
      <c r="C871" t="s">
        <v>20</v>
      </c>
      <c r="D871" s="1" t="str">
        <v>Female</v>
      </c>
      <c r="E871">
        <v>2</v>
      </c>
      <c r="F871" t="s">
        <v>23</v>
      </c>
      <c r="G871" t="s">
        <v>24</v>
      </c>
      <c r="H871" t="s">
        <v>24</v>
      </c>
      <c r="I871">
        <v>652</v>
      </c>
      <c r="J871" s="2" t="s">
        <v>41</v>
      </c>
      <c r="K871" s="1" t="str">
        <f t="shared" si="39"/>
        <v>Has Spaces</v>
      </c>
      <c r="L871" s="1" t="b">
        <v>1</v>
      </c>
      <c r="M871" s="1" t="str">
        <f t="shared" si="40"/>
        <v>Valid</v>
      </c>
      <c r="N871">
        <v>12</v>
      </c>
      <c r="O871" s="1" t="str">
        <f t="shared" si="41"/>
        <v>Valid</v>
      </c>
      <c r="P871" t="s">
        <v>13</v>
      </c>
      <c r="Q871" s="1" t="str">
        <v>Furniture/Equipment</v>
      </c>
      <c r="R871">
        <v>1</v>
      </c>
      <c r="S871" s="2" t="s">
        <v>34</v>
      </c>
    </row>
    <row r="872" spans="1:19" x14ac:dyDescent="0.35">
      <c r="A872">
        <v>40</v>
      </c>
      <c r="B872" s="2" t="s">
        <v>39</v>
      </c>
      <c r="C872" t="s">
        <v>20</v>
      </c>
      <c r="D872" s="1" t="str">
        <v>Female</v>
      </c>
      <c r="E872">
        <v>2</v>
      </c>
      <c r="F872" t="s">
        <v>21</v>
      </c>
      <c r="G872" t="s">
        <v>25</v>
      </c>
      <c r="H872" t="s">
        <v>10</v>
      </c>
      <c r="I872">
        <v>7678</v>
      </c>
      <c r="J872" s="2" t="s">
        <v>42</v>
      </c>
      <c r="K872" s="1" t="str">
        <f t="shared" si="39"/>
        <v>Clean</v>
      </c>
      <c r="L872" s="1" t="b">
        <v>1</v>
      </c>
      <c r="M872" s="1" t="str">
        <f t="shared" si="40"/>
        <v>Valid</v>
      </c>
      <c r="N872">
        <v>36</v>
      </c>
      <c r="O872" s="1" t="str">
        <f t="shared" si="41"/>
        <v>Valid</v>
      </c>
      <c r="P872" t="s">
        <v>13</v>
      </c>
      <c r="Q872" s="1" t="str">
        <v>Furniture/Equipment</v>
      </c>
      <c r="R872">
        <v>1</v>
      </c>
      <c r="S872" s="2" t="s">
        <v>34</v>
      </c>
    </row>
    <row r="873" spans="1:19" x14ac:dyDescent="0.35">
      <c r="A873">
        <v>46</v>
      </c>
      <c r="B873" s="2" t="s">
        <v>39</v>
      </c>
      <c r="C873" t="s">
        <v>19</v>
      </c>
      <c r="D873" s="1" t="str">
        <v>Male</v>
      </c>
      <c r="E873">
        <v>2</v>
      </c>
      <c r="F873" t="s">
        <v>21</v>
      </c>
      <c r="G873" t="s">
        <v>24</v>
      </c>
      <c r="H873" t="s">
        <v>26</v>
      </c>
      <c r="I873">
        <v>1343</v>
      </c>
      <c r="J873" s="2" t="s">
        <v>41</v>
      </c>
      <c r="K873" s="1" t="str">
        <f t="shared" si="39"/>
        <v>Has Spaces</v>
      </c>
      <c r="L873" s="1" t="b">
        <v>1</v>
      </c>
      <c r="M873" s="1" t="str">
        <f t="shared" si="40"/>
        <v>Valid</v>
      </c>
      <c r="N873">
        <v>6</v>
      </c>
      <c r="O873" s="1" t="str">
        <f t="shared" si="41"/>
        <v>Valid</v>
      </c>
      <c r="P873" t="s">
        <v>14</v>
      </c>
      <c r="Q873" s="1" t="str">
        <v>Car</v>
      </c>
      <c r="R873">
        <v>1</v>
      </c>
      <c r="S873" s="2" t="s">
        <v>34</v>
      </c>
    </row>
    <row r="874" spans="1:19" x14ac:dyDescent="0.35">
      <c r="A874">
        <v>26</v>
      </c>
      <c r="B874" s="2" t="s">
        <v>38</v>
      </c>
      <c r="C874" t="s">
        <v>19</v>
      </c>
      <c r="D874" s="1" t="str">
        <v>Male</v>
      </c>
      <c r="E874">
        <v>2</v>
      </c>
      <c r="F874" t="s">
        <v>21</v>
      </c>
      <c r="G874" t="s">
        <v>27</v>
      </c>
      <c r="H874" t="s">
        <v>24</v>
      </c>
      <c r="I874">
        <v>1382</v>
      </c>
      <c r="J874" s="2" t="s">
        <v>41</v>
      </c>
      <c r="K874" s="1" t="str">
        <f t="shared" si="39"/>
        <v>Has Spaces</v>
      </c>
      <c r="L874" s="1" t="b">
        <v>1</v>
      </c>
      <c r="M874" s="1" t="str">
        <f t="shared" si="40"/>
        <v>Valid</v>
      </c>
      <c r="N874">
        <v>24</v>
      </c>
      <c r="O874" s="1" t="str">
        <f t="shared" si="41"/>
        <v>Valid</v>
      </c>
      <c r="P874" t="s">
        <v>15</v>
      </c>
      <c r="Q874" s="1" t="str">
        <v>Business</v>
      </c>
      <c r="R874">
        <v>1</v>
      </c>
      <c r="S874" s="2" t="s">
        <v>34</v>
      </c>
    </row>
    <row r="875" spans="1:19" x14ac:dyDescent="0.35">
      <c r="A875">
        <v>24</v>
      </c>
      <c r="B875" s="2" t="s">
        <v>38</v>
      </c>
      <c r="C875" t="s">
        <v>20</v>
      </c>
      <c r="D875" s="1" t="str">
        <v>Female</v>
      </c>
      <c r="E875">
        <v>2</v>
      </c>
      <c r="F875" t="s">
        <v>21</v>
      </c>
      <c r="G875" t="s">
        <v>10</v>
      </c>
      <c r="H875" t="s">
        <v>10</v>
      </c>
      <c r="I875">
        <v>874</v>
      </c>
      <c r="J875" s="2" t="s">
        <v>41</v>
      </c>
      <c r="K875" s="1" t="str">
        <f t="shared" si="39"/>
        <v>Has Spaces</v>
      </c>
      <c r="L875" s="1" t="b">
        <v>1</v>
      </c>
      <c r="M875" s="1" t="str">
        <f t="shared" si="40"/>
        <v>Valid</v>
      </c>
      <c r="N875">
        <v>15</v>
      </c>
      <c r="O875" s="1" t="str">
        <f t="shared" si="41"/>
        <v>Valid</v>
      </c>
      <c r="P875" t="s">
        <v>16</v>
      </c>
      <c r="Q875" s="1" t="str">
        <v>Domestic Appliances</v>
      </c>
      <c r="R875">
        <v>1</v>
      </c>
      <c r="S875" s="2" t="s">
        <v>34</v>
      </c>
    </row>
    <row r="876" spans="1:19" x14ac:dyDescent="0.35">
      <c r="A876">
        <v>29</v>
      </c>
      <c r="B876" s="2" t="s">
        <v>38</v>
      </c>
      <c r="C876" t="s">
        <v>19</v>
      </c>
      <c r="D876" s="1" t="str">
        <v>Male</v>
      </c>
      <c r="E876">
        <v>1</v>
      </c>
      <c r="F876" t="s">
        <v>21</v>
      </c>
      <c r="G876" t="s">
        <v>24</v>
      </c>
      <c r="H876" t="s">
        <v>24</v>
      </c>
      <c r="I876">
        <v>3590</v>
      </c>
      <c r="J876" s="2" t="s">
        <v>43</v>
      </c>
      <c r="K876" s="1" t="str">
        <f t="shared" si="39"/>
        <v>Clean</v>
      </c>
      <c r="L876" s="1" t="b">
        <v>1</v>
      </c>
      <c r="M876" s="1" t="str">
        <f t="shared" si="40"/>
        <v>Valid</v>
      </c>
      <c r="N876">
        <v>12</v>
      </c>
      <c r="O876" s="1" t="str">
        <f t="shared" si="41"/>
        <v>Valid</v>
      </c>
      <c r="P876" t="s">
        <v>13</v>
      </c>
      <c r="Q876" s="1" t="str">
        <v>Furniture/Equipment</v>
      </c>
      <c r="R876">
        <v>1</v>
      </c>
      <c r="S876" s="2" t="s">
        <v>34</v>
      </c>
    </row>
    <row r="877" spans="1:19" x14ac:dyDescent="0.35">
      <c r="A877">
        <v>40</v>
      </c>
      <c r="B877" s="2" t="s">
        <v>39</v>
      </c>
      <c r="C877" t="s">
        <v>20</v>
      </c>
      <c r="D877" s="1" t="str">
        <v>Female</v>
      </c>
      <c r="E877">
        <v>2</v>
      </c>
      <c r="F877" t="s">
        <v>21</v>
      </c>
      <c r="G877" t="s">
        <v>26</v>
      </c>
      <c r="H877" t="s">
        <v>27</v>
      </c>
      <c r="I877">
        <v>1322</v>
      </c>
      <c r="J877" s="2" t="s">
        <v>41</v>
      </c>
      <c r="K877" s="1" t="str">
        <f t="shared" si="39"/>
        <v>Has Spaces</v>
      </c>
      <c r="L877" s="1" t="b">
        <v>1</v>
      </c>
      <c r="M877" s="1" t="str">
        <f t="shared" si="40"/>
        <v>Valid</v>
      </c>
      <c r="N877">
        <v>11</v>
      </c>
      <c r="O877" s="1" t="str">
        <f t="shared" si="41"/>
        <v>Valid</v>
      </c>
      <c r="P877" t="s">
        <v>14</v>
      </c>
      <c r="Q877" s="1" t="str">
        <v>Car</v>
      </c>
      <c r="R877">
        <v>1</v>
      </c>
      <c r="S877" s="2" t="s">
        <v>34</v>
      </c>
    </row>
    <row r="878" spans="1:19" x14ac:dyDescent="0.35">
      <c r="A878">
        <v>36</v>
      </c>
      <c r="B878" s="2" t="s">
        <v>39</v>
      </c>
      <c r="C878" t="s">
        <v>19</v>
      </c>
      <c r="D878" s="1" t="str">
        <v>Male</v>
      </c>
      <c r="E878">
        <v>3</v>
      </c>
      <c r="F878" t="s">
        <v>22</v>
      </c>
      <c r="G878" t="s">
        <v>24</v>
      </c>
      <c r="H878" t="s">
        <v>24</v>
      </c>
      <c r="I878">
        <v>1940</v>
      </c>
      <c r="J878" s="2" t="s">
        <v>41</v>
      </c>
      <c r="K878" s="1" t="str">
        <f t="shared" si="39"/>
        <v>Has Spaces</v>
      </c>
      <c r="L878" s="1" t="b">
        <v>1</v>
      </c>
      <c r="M878" s="1" t="str">
        <f t="shared" si="40"/>
        <v>Valid</v>
      </c>
      <c r="N878">
        <v>18</v>
      </c>
      <c r="O878" s="1" t="str">
        <f t="shared" si="41"/>
        <v>Valid</v>
      </c>
      <c r="P878" t="s">
        <v>11</v>
      </c>
      <c r="Q878" s="1" t="str">
        <v>Radio/Tv</v>
      </c>
      <c r="R878">
        <v>1</v>
      </c>
      <c r="S878" s="2" t="s">
        <v>34</v>
      </c>
    </row>
    <row r="879" spans="1:19" x14ac:dyDescent="0.35">
      <c r="A879">
        <v>28</v>
      </c>
      <c r="B879" s="2" t="s">
        <v>38</v>
      </c>
      <c r="C879" t="s">
        <v>19</v>
      </c>
      <c r="D879" s="1" t="str">
        <v>Male</v>
      </c>
      <c r="E879">
        <v>2</v>
      </c>
      <c r="F879" t="s">
        <v>21</v>
      </c>
      <c r="G879" t="s">
        <v>24</v>
      </c>
      <c r="H879" t="s">
        <v>10</v>
      </c>
      <c r="I879">
        <v>3595</v>
      </c>
      <c r="J879" s="2" t="s">
        <v>43</v>
      </c>
      <c r="K879" s="1" t="str">
        <f t="shared" si="39"/>
        <v>Clean</v>
      </c>
      <c r="L879" s="1" t="b">
        <v>1</v>
      </c>
      <c r="M879" s="1" t="str">
        <f t="shared" si="40"/>
        <v>Valid</v>
      </c>
      <c r="N879">
        <v>36</v>
      </c>
      <c r="O879" s="1" t="str">
        <f t="shared" si="41"/>
        <v>Valid</v>
      </c>
      <c r="P879" t="s">
        <v>11</v>
      </c>
      <c r="Q879" s="1" t="str">
        <v>Radio/Tv</v>
      </c>
      <c r="R879">
        <v>1</v>
      </c>
      <c r="S879" s="2" t="s">
        <v>34</v>
      </c>
    </row>
    <row r="880" spans="1:19" x14ac:dyDescent="0.35">
      <c r="A880">
        <v>27</v>
      </c>
      <c r="B880" s="2" t="s">
        <v>38</v>
      </c>
      <c r="C880" t="s">
        <v>19</v>
      </c>
      <c r="D880" s="1" t="str">
        <v>Male</v>
      </c>
      <c r="E880">
        <v>3</v>
      </c>
      <c r="F880" t="s">
        <v>22</v>
      </c>
      <c r="G880" t="s">
        <v>24</v>
      </c>
      <c r="H880" t="s">
        <v>24</v>
      </c>
      <c r="I880">
        <v>1422</v>
      </c>
      <c r="J880" s="2" t="s">
        <v>41</v>
      </c>
      <c r="K880" s="1" t="str">
        <f t="shared" si="39"/>
        <v>Has Spaces</v>
      </c>
      <c r="L880" s="1" t="b">
        <v>1</v>
      </c>
      <c r="M880" s="1" t="str">
        <f t="shared" si="40"/>
        <v>Valid</v>
      </c>
      <c r="N880">
        <v>9</v>
      </c>
      <c r="O880" s="1" t="str">
        <f t="shared" si="41"/>
        <v>Valid</v>
      </c>
      <c r="P880" t="s">
        <v>14</v>
      </c>
      <c r="Q880" s="1" t="str">
        <v>Car</v>
      </c>
      <c r="R880">
        <v>2</v>
      </c>
      <c r="S880" s="2" t="s">
        <v>35</v>
      </c>
    </row>
    <row r="881" spans="1:19" x14ac:dyDescent="0.35">
      <c r="A881">
        <v>36</v>
      </c>
      <c r="B881" s="2" t="s">
        <v>39</v>
      </c>
      <c r="C881" t="s">
        <v>19</v>
      </c>
      <c r="D881" s="1" t="str">
        <v>Male</v>
      </c>
      <c r="E881">
        <v>2</v>
      </c>
      <c r="F881" t="s">
        <v>21</v>
      </c>
      <c r="G881" t="s">
        <v>10</v>
      </c>
      <c r="H881" t="s">
        <v>10</v>
      </c>
      <c r="I881">
        <v>6742</v>
      </c>
      <c r="J881" s="2" t="s">
        <v>42</v>
      </c>
      <c r="K881" s="1" t="str">
        <f t="shared" si="39"/>
        <v>Clean</v>
      </c>
      <c r="L881" s="1" t="b">
        <v>1</v>
      </c>
      <c r="M881" s="1" t="str">
        <f t="shared" si="40"/>
        <v>Valid</v>
      </c>
      <c r="N881">
        <v>30</v>
      </c>
      <c r="O881" s="1" t="str">
        <f t="shared" si="41"/>
        <v>Valid</v>
      </c>
      <c r="P881" t="s">
        <v>11</v>
      </c>
      <c r="Q881" s="1" t="str">
        <v>Radio/Tv</v>
      </c>
      <c r="R881">
        <v>1</v>
      </c>
      <c r="S881" s="2" t="s">
        <v>34</v>
      </c>
    </row>
    <row r="882" spans="1:19" x14ac:dyDescent="0.35">
      <c r="A882">
        <v>38</v>
      </c>
      <c r="B882" s="2" t="s">
        <v>39</v>
      </c>
      <c r="C882" t="s">
        <v>19</v>
      </c>
      <c r="D882" s="1" t="str">
        <v>Male</v>
      </c>
      <c r="E882">
        <v>3</v>
      </c>
      <c r="F882" t="s">
        <v>21</v>
      </c>
      <c r="G882" t="s">
        <v>24</v>
      </c>
      <c r="H882" t="s">
        <v>10</v>
      </c>
      <c r="I882">
        <v>7814</v>
      </c>
      <c r="J882" s="2" t="s">
        <v>42</v>
      </c>
      <c r="K882" s="1" t="str">
        <f t="shared" si="39"/>
        <v>Clean</v>
      </c>
      <c r="L882" s="1" t="b">
        <v>1</v>
      </c>
      <c r="M882" s="1" t="str">
        <f t="shared" si="40"/>
        <v>Valid</v>
      </c>
      <c r="N882">
        <v>24</v>
      </c>
      <c r="O882" s="1" t="str">
        <f t="shared" si="41"/>
        <v>Valid</v>
      </c>
      <c r="P882" t="s">
        <v>14</v>
      </c>
      <c r="Q882" s="1" t="str">
        <v>Car</v>
      </c>
      <c r="R882">
        <v>1</v>
      </c>
      <c r="S882" s="2" t="s">
        <v>34</v>
      </c>
    </row>
    <row r="883" spans="1:19" x14ac:dyDescent="0.35">
      <c r="A883">
        <v>48</v>
      </c>
      <c r="B883" s="2" t="s">
        <v>39</v>
      </c>
      <c r="C883" t="s">
        <v>19</v>
      </c>
      <c r="D883" s="1" t="str">
        <v>Male</v>
      </c>
      <c r="E883">
        <v>2</v>
      </c>
      <c r="F883" t="s">
        <v>22</v>
      </c>
      <c r="G883" t="s">
        <v>10</v>
      </c>
      <c r="H883" t="s">
        <v>10</v>
      </c>
      <c r="I883">
        <v>9277</v>
      </c>
      <c r="J883" s="2" t="s">
        <v>42</v>
      </c>
      <c r="K883" s="1" t="str">
        <f t="shared" si="39"/>
        <v>Clean</v>
      </c>
      <c r="L883" s="1" t="b">
        <v>1</v>
      </c>
      <c r="M883" s="1" t="str">
        <f t="shared" si="40"/>
        <v>Valid</v>
      </c>
      <c r="N883">
        <v>24</v>
      </c>
      <c r="O883" s="1" t="str">
        <f t="shared" si="41"/>
        <v>Valid</v>
      </c>
      <c r="P883" t="s">
        <v>14</v>
      </c>
      <c r="Q883" s="1" t="str">
        <v>Car</v>
      </c>
      <c r="R883">
        <v>1</v>
      </c>
      <c r="S883" s="2" t="s">
        <v>34</v>
      </c>
    </row>
    <row r="884" spans="1:19" x14ac:dyDescent="0.35">
      <c r="A884">
        <v>36</v>
      </c>
      <c r="B884" s="2" t="s">
        <v>39</v>
      </c>
      <c r="C884" t="s">
        <v>19</v>
      </c>
      <c r="D884" s="1" t="str">
        <v>Male</v>
      </c>
      <c r="E884">
        <v>2</v>
      </c>
      <c r="F884" t="s">
        <v>21</v>
      </c>
      <c r="G884" t="s">
        <v>10</v>
      </c>
      <c r="H884" t="s">
        <v>27</v>
      </c>
      <c r="I884">
        <v>2181</v>
      </c>
      <c r="J884" s="2" t="s">
        <v>43</v>
      </c>
      <c r="K884" s="1" t="str">
        <f t="shared" si="39"/>
        <v>Clean</v>
      </c>
      <c r="L884" s="1" t="b">
        <v>1</v>
      </c>
      <c r="M884" s="1" t="str">
        <f t="shared" si="40"/>
        <v>Valid</v>
      </c>
      <c r="N884">
        <v>30</v>
      </c>
      <c r="O884" s="1" t="str">
        <f t="shared" si="41"/>
        <v>Valid</v>
      </c>
      <c r="P884" t="s">
        <v>14</v>
      </c>
      <c r="Q884" s="1" t="str">
        <v>Car</v>
      </c>
      <c r="R884">
        <v>1</v>
      </c>
      <c r="S884" s="2" t="s">
        <v>34</v>
      </c>
    </row>
    <row r="885" spans="1:19" x14ac:dyDescent="0.35">
      <c r="A885">
        <v>65</v>
      </c>
      <c r="B885" s="2" t="s">
        <v>37</v>
      </c>
      <c r="C885" t="s">
        <v>20</v>
      </c>
      <c r="D885" s="1" t="str">
        <v>Female</v>
      </c>
      <c r="E885">
        <v>0</v>
      </c>
      <c r="F885" t="s">
        <v>21</v>
      </c>
      <c r="G885" t="s">
        <v>24</v>
      </c>
      <c r="H885" t="s">
        <v>10</v>
      </c>
      <c r="I885">
        <v>1098</v>
      </c>
      <c r="J885" s="2" t="s">
        <v>41</v>
      </c>
      <c r="K885" s="1" t="str">
        <f t="shared" si="39"/>
        <v>Has Spaces</v>
      </c>
      <c r="L885" s="1" t="b">
        <v>1</v>
      </c>
      <c r="M885" s="1" t="str">
        <f t="shared" si="40"/>
        <v>Valid</v>
      </c>
      <c r="N885">
        <v>18</v>
      </c>
      <c r="O885" s="1" t="str">
        <f t="shared" si="41"/>
        <v>Valid</v>
      </c>
      <c r="P885" t="s">
        <v>11</v>
      </c>
      <c r="Q885" s="1" t="str">
        <v>Radio/Tv</v>
      </c>
      <c r="R885">
        <v>1</v>
      </c>
      <c r="S885" s="2" t="s">
        <v>34</v>
      </c>
    </row>
    <row r="886" spans="1:19" x14ac:dyDescent="0.35">
      <c r="A886">
        <v>43</v>
      </c>
      <c r="B886" s="2" t="s">
        <v>39</v>
      </c>
      <c r="C886" t="s">
        <v>19</v>
      </c>
      <c r="D886" s="1" t="str">
        <v>Male</v>
      </c>
      <c r="E886">
        <v>2</v>
      </c>
      <c r="F886" t="s">
        <v>21</v>
      </c>
      <c r="G886" t="s">
        <v>24</v>
      </c>
      <c r="H886" t="s">
        <v>27</v>
      </c>
      <c r="I886">
        <v>4057</v>
      </c>
      <c r="J886" s="2" t="s">
        <v>43</v>
      </c>
      <c r="K886" s="1" t="str">
        <f t="shared" si="39"/>
        <v>Clean</v>
      </c>
      <c r="L886" s="1" t="b">
        <v>1</v>
      </c>
      <c r="M886" s="1" t="str">
        <f t="shared" si="40"/>
        <v>Valid</v>
      </c>
      <c r="N886">
        <v>24</v>
      </c>
      <c r="O886" s="1" t="str">
        <f t="shared" si="41"/>
        <v>Valid</v>
      </c>
      <c r="P886" t="s">
        <v>13</v>
      </c>
      <c r="Q886" s="1" t="str">
        <v>Furniture/Equipment</v>
      </c>
      <c r="R886">
        <v>2</v>
      </c>
      <c r="S886" s="2" t="s">
        <v>35</v>
      </c>
    </row>
    <row r="887" spans="1:19" x14ac:dyDescent="0.35">
      <c r="A887">
        <v>53</v>
      </c>
      <c r="B887" s="2" t="s">
        <v>37</v>
      </c>
      <c r="C887" t="s">
        <v>20</v>
      </c>
      <c r="D887" s="1" t="str">
        <v>Female</v>
      </c>
      <c r="E887">
        <v>2</v>
      </c>
      <c r="F887" t="s">
        <v>21</v>
      </c>
      <c r="G887" t="s">
        <v>24</v>
      </c>
      <c r="H887" t="s">
        <v>24</v>
      </c>
      <c r="I887">
        <v>795</v>
      </c>
      <c r="J887" s="2" t="s">
        <v>41</v>
      </c>
      <c r="K887" s="1" t="str">
        <f t="shared" si="39"/>
        <v>Has Spaces</v>
      </c>
      <c r="L887" s="1" t="b">
        <v>1</v>
      </c>
      <c r="M887" s="1" t="str">
        <f t="shared" si="40"/>
        <v>Valid</v>
      </c>
      <c r="N887">
        <v>12</v>
      </c>
      <c r="O887" s="1" t="str">
        <f t="shared" si="41"/>
        <v>Valid</v>
      </c>
      <c r="P887" t="s">
        <v>12</v>
      </c>
      <c r="Q887" s="1" t="str">
        <v>Education</v>
      </c>
      <c r="R887">
        <v>2</v>
      </c>
      <c r="S887" s="2" t="s">
        <v>35</v>
      </c>
    </row>
    <row r="888" spans="1:19" x14ac:dyDescent="0.35">
      <c r="A888">
        <v>34</v>
      </c>
      <c r="B888" s="2" t="s">
        <v>39</v>
      </c>
      <c r="C888" t="s">
        <v>19</v>
      </c>
      <c r="D888" s="1" t="str">
        <v>Male</v>
      </c>
      <c r="E888">
        <v>2</v>
      </c>
      <c r="F888" t="s">
        <v>21</v>
      </c>
      <c r="G888" t="s">
        <v>10</v>
      </c>
      <c r="H888" t="s">
        <v>27</v>
      </c>
      <c r="I888">
        <v>2825</v>
      </c>
      <c r="J888" s="2" t="s">
        <v>43</v>
      </c>
      <c r="K888" s="1" t="str">
        <f t="shared" si="39"/>
        <v>Clean</v>
      </c>
      <c r="L888" s="1" t="b">
        <v>1</v>
      </c>
      <c r="M888" s="1" t="str">
        <f t="shared" si="40"/>
        <v>Valid</v>
      </c>
      <c r="N888">
        <v>24</v>
      </c>
      <c r="O888" s="1" t="str">
        <f t="shared" si="41"/>
        <v>Valid</v>
      </c>
      <c r="P888" t="s">
        <v>15</v>
      </c>
      <c r="Q888" s="1" t="str">
        <v>Business</v>
      </c>
      <c r="R888">
        <v>1</v>
      </c>
      <c r="S888" s="2" t="s">
        <v>34</v>
      </c>
    </row>
    <row r="889" spans="1:19" x14ac:dyDescent="0.35">
      <c r="A889">
        <v>23</v>
      </c>
      <c r="B889" s="2" t="s">
        <v>38</v>
      </c>
      <c r="C889" t="s">
        <v>19</v>
      </c>
      <c r="D889" s="1" t="str">
        <v>Male</v>
      </c>
      <c r="E889">
        <v>2</v>
      </c>
      <c r="F889" t="s">
        <v>21</v>
      </c>
      <c r="G889" t="s">
        <v>24</v>
      </c>
      <c r="H889" t="s">
        <v>27</v>
      </c>
      <c r="I889">
        <v>15672</v>
      </c>
      <c r="J889" s="2" t="s">
        <v>42</v>
      </c>
      <c r="K889" s="1" t="str">
        <f t="shared" si="39"/>
        <v>Clean</v>
      </c>
      <c r="L889" s="1" t="b">
        <v>1</v>
      </c>
      <c r="M889" s="1" t="str">
        <f t="shared" si="40"/>
        <v>Valid</v>
      </c>
      <c r="N889">
        <v>48</v>
      </c>
      <c r="O889" s="1" t="str">
        <f t="shared" si="41"/>
        <v>Valid</v>
      </c>
      <c r="P889" t="s">
        <v>15</v>
      </c>
      <c r="Q889" s="1" t="str">
        <v>Business</v>
      </c>
      <c r="R889">
        <v>2</v>
      </c>
      <c r="S889" s="2" t="s">
        <v>35</v>
      </c>
    </row>
    <row r="890" spans="1:19" x14ac:dyDescent="0.35">
      <c r="A890">
        <v>34</v>
      </c>
      <c r="B890" s="2" t="s">
        <v>39</v>
      </c>
      <c r="C890" t="s">
        <v>19</v>
      </c>
      <c r="D890" s="1" t="str">
        <v>Male</v>
      </c>
      <c r="E890">
        <v>3</v>
      </c>
      <c r="F890" t="s">
        <v>21</v>
      </c>
      <c r="G890" t="s">
        <v>24</v>
      </c>
      <c r="H890" t="s">
        <v>10</v>
      </c>
      <c r="I890">
        <v>6614</v>
      </c>
      <c r="J890" s="2" t="s">
        <v>42</v>
      </c>
      <c r="K890" s="1" t="str">
        <f t="shared" si="39"/>
        <v>Clean</v>
      </c>
      <c r="L890" s="1" t="b">
        <v>1</v>
      </c>
      <c r="M890" s="1" t="str">
        <f t="shared" si="40"/>
        <v>Valid</v>
      </c>
      <c r="N890">
        <v>36</v>
      </c>
      <c r="O890" s="1" t="str">
        <f t="shared" si="41"/>
        <v>Valid</v>
      </c>
      <c r="P890" t="s">
        <v>14</v>
      </c>
      <c r="Q890" s="1" t="str">
        <v>Car</v>
      </c>
      <c r="R890">
        <v>1</v>
      </c>
      <c r="S890" s="2" t="s">
        <v>34</v>
      </c>
    </row>
    <row r="891" spans="1:19" x14ac:dyDescent="0.35">
      <c r="A891">
        <v>40</v>
      </c>
      <c r="B891" s="2" t="s">
        <v>39</v>
      </c>
      <c r="C891" t="s">
        <v>19</v>
      </c>
      <c r="D891" s="1" t="str">
        <v>Male</v>
      </c>
      <c r="E891">
        <v>2</v>
      </c>
      <c r="F891" t="s">
        <v>23</v>
      </c>
      <c r="G891" t="s">
        <v>10</v>
      </c>
      <c r="H891" t="s">
        <v>10</v>
      </c>
      <c r="I891">
        <v>7824</v>
      </c>
      <c r="J891" s="2" t="s">
        <v>42</v>
      </c>
      <c r="K891" s="1" t="str">
        <f t="shared" si="39"/>
        <v>Clean</v>
      </c>
      <c r="L891" s="1" t="b">
        <v>1</v>
      </c>
      <c r="M891" s="1" t="str">
        <f t="shared" si="40"/>
        <v>Valid</v>
      </c>
      <c r="N891">
        <v>28</v>
      </c>
      <c r="O891" s="1" t="str">
        <f t="shared" si="41"/>
        <v>Valid</v>
      </c>
      <c r="P891" t="s">
        <v>14</v>
      </c>
      <c r="Q891" s="1" t="str">
        <v>Car</v>
      </c>
      <c r="R891">
        <v>1</v>
      </c>
      <c r="S891" s="2" t="s">
        <v>34</v>
      </c>
    </row>
    <row r="892" spans="1:19" x14ac:dyDescent="0.35">
      <c r="A892">
        <v>43</v>
      </c>
      <c r="B892" s="2" t="s">
        <v>39</v>
      </c>
      <c r="C892" t="s">
        <v>19</v>
      </c>
      <c r="D892" s="1" t="str">
        <v>Male</v>
      </c>
      <c r="E892">
        <v>3</v>
      </c>
      <c r="F892" t="s">
        <v>21</v>
      </c>
      <c r="G892" t="s">
        <v>24</v>
      </c>
      <c r="H892" t="s">
        <v>24</v>
      </c>
      <c r="I892">
        <v>2442</v>
      </c>
      <c r="J892" s="2" t="s">
        <v>43</v>
      </c>
      <c r="K892" s="1" t="str">
        <f t="shared" si="39"/>
        <v>Clean</v>
      </c>
      <c r="L892" s="1" t="b">
        <v>1</v>
      </c>
      <c r="M892" s="1" t="str">
        <f t="shared" si="40"/>
        <v>Valid</v>
      </c>
      <c r="N892">
        <v>27</v>
      </c>
      <c r="O892" s="1" t="str">
        <f t="shared" si="41"/>
        <v>Valid</v>
      </c>
      <c r="P892" t="s">
        <v>15</v>
      </c>
      <c r="Q892" s="1" t="str">
        <v>Business</v>
      </c>
      <c r="R892">
        <v>1</v>
      </c>
      <c r="S892" s="2" t="s">
        <v>34</v>
      </c>
    </row>
    <row r="893" spans="1:19" x14ac:dyDescent="0.35">
      <c r="A893">
        <v>46</v>
      </c>
      <c r="B893" s="2" t="s">
        <v>39</v>
      </c>
      <c r="C893" t="s">
        <v>19</v>
      </c>
      <c r="D893" s="1" t="str">
        <v>Male</v>
      </c>
      <c r="E893">
        <v>2</v>
      </c>
      <c r="F893" t="s">
        <v>21</v>
      </c>
      <c r="G893" t="s">
        <v>24</v>
      </c>
      <c r="H893" t="s">
        <v>10</v>
      </c>
      <c r="I893">
        <v>1829</v>
      </c>
      <c r="J893" s="2" t="s">
        <v>41</v>
      </c>
      <c r="K893" s="1" t="str">
        <f t="shared" si="39"/>
        <v>Has Spaces</v>
      </c>
      <c r="L893" s="1" t="b">
        <v>1</v>
      </c>
      <c r="M893" s="1" t="str">
        <f t="shared" si="40"/>
        <v>Valid</v>
      </c>
      <c r="N893">
        <v>15</v>
      </c>
      <c r="O893" s="1" t="str">
        <f t="shared" si="41"/>
        <v>Valid</v>
      </c>
      <c r="P893" t="s">
        <v>11</v>
      </c>
      <c r="Q893" s="1" t="str">
        <v>Radio/Tv</v>
      </c>
      <c r="R893">
        <v>1</v>
      </c>
      <c r="S893" s="2" t="s">
        <v>34</v>
      </c>
    </row>
    <row r="894" spans="1:19" x14ac:dyDescent="0.35">
      <c r="A894">
        <v>38</v>
      </c>
      <c r="B894" s="2" t="s">
        <v>39</v>
      </c>
      <c r="C894" t="s">
        <v>19</v>
      </c>
      <c r="D894" s="1" t="str">
        <v>Male</v>
      </c>
      <c r="E894">
        <v>1</v>
      </c>
      <c r="F894" t="s">
        <v>21</v>
      </c>
      <c r="G894" t="s">
        <v>24</v>
      </c>
      <c r="H894" t="s">
        <v>24</v>
      </c>
      <c r="I894">
        <v>2171</v>
      </c>
      <c r="J894" s="2" t="s">
        <v>43</v>
      </c>
      <c r="K894" s="1" t="str">
        <f t="shared" si="39"/>
        <v>Clean</v>
      </c>
      <c r="L894" s="1" t="b">
        <v>1</v>
      </c>
      <c r="M894" s="1" t="str">
        <f t="shared" si="40"/>
        <v>Valid</v>
      </c>
      <c r="N894">
        <v>12</v>
      </c>
      <c r="O894" s="1" t="str">
        <f t="shared" si="41"/>
        <v>Valid</v>
      </c>
      <c r="P894" t="s">
        <v>14</v>
      </c>
      <c r="Q894" s="1" t="str">
        <v>Car</v>
      </c>
      <c r="R894">
        <v>1</v>
      </c>
      <c r="S894" s="2" t="s">
        <v>34</v>
      </c>
    </row>
    <row r="895" spans="1:19" x14ac:dyDescent="0.35">
      <c r="A895">
        <v>34</v>
      </c>
      <c r="B895" s="2" t="s">
        <v>39</v>
      </c>
      <c r="C895" t="s">
        <v>19</v>
      </c>
      <c r="D895" s="1" t="str">
        <v>Male</v>
      </c>
      <c r="E895">
        <v>2</v>
      </c>
      <c r="F895" t="s">
        <v>21</v>
      </c>
      <c r="G895" t="s">
        <v>24</v>
      </c>
      <c r="H895" t="s">
        <v>27</v>
      </c>
      <c r="I895">
        <v>5800</v>
      </c>
      <c r="J895" s="2" t="s">
        <v>42</v>
      </c>
      <c r="K895" s="1" t="str">
        <f t="shared" si="39"/>
        <v>Clean</v>
      </c>
      <c r="L895" s="1" t="b">
        <v>1</v>
      </c>
      <c r="M895" s="1" t="str">
        <f t="shared" si="40"/>
        <v>Valid</v>
      </c>
      <c r="N895">
        <v>36</v>
      </c>
      <c r="O895" s="1" t="str">
        <f t="shared" si="41"/>
        <v>Valid</v>
      </c>
      <c r="P895" t="s">
        <v>14</v>
      </c>
      <c r="Q895" s="1" t="str">
        <v>Car</v>
      </c>
      <c r="R895">
        <v>1</v>
      </c>
      <c r="S895" s="2" t="s">
        <v>34</v>
      </c>
    </row>
    <row r="896" spans="1:19" x14ac:dyDescent="0.35">
      <c r="A896">
        <v>29</v>
      </c>
      <c r="B896" s="2" t="s">
        <v>38</v>
      </c>
      <c r="C896" t="s">
        <v>19</v>
      </c>
      <c r="D896" s="1" t="str">
        <v>Male</v>
      </c>
      <c r="E896">
        <v>2</v>
      </c>
      <c r="F896" t="s">
        <v>21</v>
      </c>
      <c r="G896" t="s">
        <v>10</v>
      </c>
      <c r="H896" t="s">
        <v>10</v>
      </c>
      <c r="I896">
        <v>1169</v>
      </c>
      <c r="J896" s="2" t="s">
        <v>41</v>
      </c>
      <c r="K896" s="1" t="str">
        <f t="shared" si="39"/>
        <v>Has Spaces</v>
      </c>
      <c r="L896" s="1" t="b">
        <v>1</v>
      </c>
      <c r="M896" s="1" t="str">
        <f t="shared" si="40"/>
        <v>Valid</v>
      </c>
      <c r="N896">
        <v>18</v>
      </c>
      <c r="O896" s="1" t="str">
        <f t="shared" si="41"/>
        <v>Valid</v>
      </c>
      <c r="P896" t="s">
        <v>11</v>
      </c>
      <c r="Q896" s="1" t="str">
        <v>Radio/Tv</v>
      </c>
      <c r="R896">
        <v>1</v>
      </c>
      <c r="S896" s="2" t="s">
        <v>34</v>
      </c>
    </row>
    <row r="897" spans="1:19" x14ac:dyDescent="0.35">
      <c r="A897">
        <v>31</v>
      </c>
      <c r="B897" s="2" t="s">
        <v>39</v>
      </c>
      <c r="C897" t="s">
        <v>19</v>
      </c>
      <c r="D897" s="1" t="str">
        <v>Male</v>
      </c>
      <c r="E897">
        <v>3</v>
      </c>
      <c r="F897" t="s">
        <v>21</v>
      </c>
      <c r="G897" t="s">
        <v>10</v>
      </c>
      <c r="H897" t="s">
        <v>10</v>
      </c>
      <c r="I897">
        <v>8947</v>
      </c>
      <c r="J897" s="2" t="s">
        <v>42</v>
      </c>
      <c r="K897" s="1" t="str">
        <f t="shared" si="39"/>
        <v>Clean</v>
      </c>
      <c r="L897" s="1" t="b">
        <v>1</v>
      </c>
      <c r="M897" s="1" t="str">
        <f t="shared" si="40"/>
        <v>Valid</v>
      </c>
      <c r="N897">
        <v>36</v>
      </c>
      <c r="O897" s="1" t="str">
        <f t="shared" si="41"/>
        <v>Valid</v>
      </c>
      <c r="P897" t="s">
        <v>14</v>
      </c>
      <c r="Q897" s="1" t="str">
        <v>Car</v>
      </c>
      <c r="R897">
        <v>1</v>
      </c>
      <c r="S897" s="2" t="s">
        <v>34</v>
      </c>
    </row>
    <row r="898" spans="1:19" x14ac:dyDescent="0.35">
      <c r="A898">
        <v>28</v>
      </c>
      <c r="B898" s="2" t="s">
        <v>38</v>
      </c>
      <c r="C898" t="s">
        <v>20</v>
      </c>
      <c r="D898" s="1" t="str">
        <v>Female</v>
      </c>
      <c r="E898">
        <v>3</v>
      </c>
      <c r="F898" t="s">
        <v>23</v>
      </c>
      <c r="G898" t="s">
        <v>24</v>
      </c>
      <c r="H898" t="s">
        <v>24</v>
      </c>
      <c r="I898">
        <v>2606</v>
      </c>
      <c r="J898" s="2" t="s">
        <v>43</v>
      </c>
      <c r="K898" s="1" t="str">
        <f t="shared" si="39"/>
        <v>Clean</v>
      </c>
      <c r="L898" s="1" t="b">
        <v>1</v>
      </c>
      <c r="M898" s="1" t="str">
        <f t="shared" si="40"/>
        <v>Valid</v>
      </c>
      <c r="N898">
        <v>21</v>
      </c>
      <c r="O898" s="1" t="str">
        <f t="shared" si="41"/>
        <v>Valid</v>
      </c>
      <c r="P898" t="s">
        <v>11</v>
      </c>
      <c r="Q898" s="1" t="str">
        <v>Radio/Tv</v>
      </c>
      <c r="R898">
        <v>1</v>
      </c>
      <c r="S898" s="2" t="s">
        <v>34</v>
      </c>
    </row>
    <row r="899" spans="1:19" x14ac:dyDescent="0.35">
      <c r="A899">
        <v>35</v>
      </c>
      <c r="B899" s="2" t="s">
        <v>39</v>
      </c>
      <c r="C899" t="s">
        <v>20</v>
      </c>
      <c r="D899" s="1" t="str">
        <v>Female</v>
      </c>
      <c r="E899">
        <v>2</v>
      </c>
      <c r="F899" t="s">
        <v>21</v>
      </c>
      <c r="G899" t="s">
        <v>26</v>
      </c>
      <c r="H899" t="s">
        <v>10</v>
      </c>
      <c r="I899">
        <v>1592</v>
      </c>
      <c r="J899" s="2" t="s">
        <v>41</v>
      </c>
      <c r="K899" s="1" t="str">
        <f t="shared" ref="K899:K955" si="42">IF(J899=TRIM(J899),"Clean","Has Spaces")</f>
        <v>Has Spaces</v>
      </c>
      <c r="L899" s="1" t="b">
        <v>1</v>
      </c>
      <c r="M899" s="1" t="str">
        <f t="shared" ref="M899:M955" si="43">IF(I899&gt;0,"Valid", "Invalid")</f>
        <v>Valid</v>
      </c>
      <c r="N899">
        <v>12</v>
      </c>
      <c r="O899" s="1" t="str">
        <f t="shared" ref="O899:O955" si="44">IF(N899&lt;=0,"invalid", "Valid")</f>
        <v>Valid</v>
      </c>
      <c r="P899" t="s">
        <v>13</v>
      </c>
      <c r="Q899" s="1" t="str">
        <v>Furniture/Equipment</v>
      </c>
      <c r="R899">
        <v>1</v>
      </c>
      <c r="S899" s="2" t="s">
        <v>34</v>
      </c>
    </row>
    <row r="900" spans="1:19" x14ac:dyDescent="0.35">
      <c r="A900">
        <v>33</v>
      </c>
      <c r="B900" s="2" t="s">
        <v>39</v>
      </c>
      <c r="C900" t="s">
        <v>20</v>
      </c>
      <c r="D900" s="1" t="str">
        <v>Female</v>
      </c>
      <c r="E900">
        <v>1</v>
      </c>
      <c r="F900" t="s">
        <v>23</v>
      </c>
      <c r="G900" t="s">
        <v>10</v>
      </c>
      <c r="H900" t="s">
        <v>10</v>
      </c>
      <c r="I900">
        <v>2186</v>
      </c>
      <c r="J900" s="2" t="s">
        <v>43</v>
      </c>
      <c r="K900" s="1" t="str">
        <f t="shared" si="42"/>
        <v>Clean</v>
      </c>
      <c r="L900" s="1" t="b">
        <v>1</v>
      </c>
      <c r="M900" s="1" t="str">
        <f t="shared" si="43"/>
        <v>Valid</v>
      </c>
      <c r="N900">
        <v>15</v>
      </c>
      <c r="O900" s="1" t="str">
        <f t="shared" si="44"/>
        <v>Valid</v>
      </c>
      <c r="P900" t="s">
        <v>13</v>
      </c>
      <c r="Q900" s="1" t="str">
        <v>Furniture/Equipment</v>
      </c>
      <c r="R900">
        <v>1</v>
      </c>
      <c r="S900" s="2" t="s">
        <v>34</v>
      </c>
    </row>
    <row r="901" spans="1:19" x14ac:dyDescent="0.35">
      <c r="A901">
        <v>42</v>
      </c>
      <c r="B901" s="2" t="s">
        <v>39</v>
      </c>
      <c r="C901" t="s">
        <v>19</v>
      </c>
      <c r="D901" s="1" t="str">
        <v>Male</v>
      </c>
      <c r="E901">
        <v>2</v>
      </c>
      <c r="F901" t="s">
        <v>21</v>
      </c>
      <c r="G901" t="s">
        <v>24</v>
      </c>
      <c r="H901" t="s">
        <v>24</v>
      </c>
      <c r="I901">
        <v>4153</v>
      </c>
      <c r="J901" s="2" t="s">
        <v>43</v>
      </c>
      <c r="K901" s="1" t="str">
        <f t="shared" si="42"/>
        <v>Clean</v>
      </c>
      <c r="L901" s="1" t="b">
        <v>1</v>
      </c>
      <c r="M901" s="1" t="str">
        <f t="shared" si="43"/>
        <v>Valid</v>
      </c>
      <c r="N901">
        <v>18</v>
      </c>
      <c r="O901" s="1" t="str">
        <f t="shared" si="44"/>
        <v>Valid</v>
      </c>
      <c r="P901" t="s">
        <v>13</v>
      </c>
      <c r="Q901" s="1" t="str">
        <v>Furniture/Equipment</v>
      </c>
      <c r="R901">
        <v>2</v>
      </c>
      <c r="S901" s="2" t="s">
        <v>35</v>
      </c>
    </row>
    <row r="902" spans="1:19" x14ac:dyDescent="0.35">
      <c r="A902">
        <v>43</v>
      </c>
      <c r="B902" s="2" t="s">
        <v>39</v>
      </c>
      <c r="C902" t="s">
        <v>19</v>
      </c>
      <c r="D902" s="1" t="str">
        <v>Male</v>
      </c>
      <c r="E902">
        <v>2</v>
      </c>
      <c r="F902" t="s">
        <v>23</v>
      </c>
      <c r="G902" t="s">
        <v>24</v>
      </c>
      <c r="H902" t="s">
        <v>24</v>
      </c>
      <c r="I902">
        <v>2625</v>
      </c>
      <c r="J902" s="2" t="s">
        <v>43</v>
      </c>
      <c r="K902" s="1" t="str">
        <f t="shared" si="42"/>
        <v>Clean</v>
      </c>
      <c r="L902" s="1" t="b">
        <v>1</v>
      </c>
      <c r="M902" s="1" t="str">
        <f t="shared" si="43"/>
        <v>Valid</v>
      </c>
      <c r="N902">
        <v>16</v>
      </c>
      <c r="O902" s="1" t="str">
        <f t="shared" si="44"/>
        <v>Valid</v>
      </c>
      <c r="P902" t="s">
        <v>14</v>
      </c>
      <c r="Q902" s="1" t="str">
        <v>Car</v>
      </c>
      <c r="R902">
        <v>2</v>
      </c>
      <c r="S902" s="2" t="s">
        <v>35</v>
      </c>
    </row>
    <row r="903" spans="1:19" x14ac:dyDescent="0.35">
      <c r="A903">
        <v>44</v>
      </c>
      <c r="B903" s="2" t="s">
        <v>39</v>
      </c>
      <c r="C903" t="s">
        <v>19</v>
      </c>
      <c r="D903" s="1" t="str">
        <v>Male</v>
      </c>
      <c r="E903">
        <v>2</v>
      </c>
      <c r="F903" t="s">
        <v>21</v>
      </c>
      <c r="G903" t="s">
        <v>10</v>
      </c>
      <c r="H903" t="s">
        <v>10</v>
      </c>
      <c r="I903">
        <v>3485</v>
      </c>
      <c r="J903" s="2" t="s">
        <v>43</v>
      </c>
      <c r="K903" s="1" t="str">
        <f t="shared" si="42"/>
        <v>Clean</v>
      </c>
      <c r="L903" s="1" t="b">
        <v>1</v>
      </c>
      <c r="M903" s="1" t="str">
        <f t="shared" si="43"/>
        <v>Valid</v>
      </c>
      <c r="N903">
        <v>20</v>
      </c>
      <c r="O903" s="1" t="str">
        <f t="shared" si="44"/>
        <v>Valid</v>
      </c>
      <c r="P903" t="s">
        <v>14</v>
      </c>
      <c r="Q903" s="1" t="str">
        <v>Car</v>
      </c>
      <c r="R903">
        <v>1</v>
      </c>
      <c r="S903" s="2" t="s">
        <v>34</v>
      </c>
    </row>
    <row r="904" spans="1:19" x14ac:dyDescent="0.35">
      <c r="A904">
        <v>42</v>
      </c>
      <c r="B904" s="2" t="s">
        <v>39</v>
      </c>
      <c r="C904" t="s">
        <v>19</v>
      </c>
      <c r="D904" s="1" t="str">
        <v>Male</v>
      </c>
      <c r="E904">
        <v>2</v>
      </c>
      <c r="F904" t="s">
        <v>22</v>
      </c>
      <c r="G904" t="s">
        <v>10</v>
      </c>
      <c r="H904" t="s">
        <v>10</v>
      </c>
      <c r="I904">
        <v>10477</v>
      </c>
      <c r="J904" s="2" t="s">
        <v>42</v>
      </c>
      <c r="K904" s="1" t="str">
        <f t="shared" si="42"/>
        <v>Clean</v>
      </c>
      <c r="L904" s="1" t="b">
        <v>1</v>
      </c>
      <c r="M904" s="1" t="str">
        <f t="shared" si="43"/>
        <v>Valid</v>
      </c>
      <c r="N904">
        <v>36</v>
      </c>
      <c r="O904" s="1" t="str">
        <f t="shared" si="44"/>
        <v>Valid</v>
      </c>
      <c r="P904" t="s">
        <v>14</v>
      </c>
      <c r="Q904" s="1" t="str">
        <v>Car</v>
      </c>
      <c r="R904">
        <v>1</v>
      </c>
      <c r="S904" s="2" t="s">
        <v>34</v>
      </c>
    </row>
    <row r="905" spans="1:19" x14ac:dyDescent="0.35">
      <c r="A905">
        <v>40</v>
      </c>
      <c r="B905" s="2" t="s">
        <v>39</v>
      </c>
      <c r="C905" t="s">
        <v>19</v>
      </c>
      <c r="D905" s="1" t="str">
        <v>Male</v>
      </c>
      <c r="E905">
        <v>2</v>
      </c>
      <c r="F905" t="s">
        <v>23</v>
      </c>
      <c r="G905" t="s">
        <v>10</v>
      </c>
      <c r="H905" t="s">
        <v>10</v>
      </c>
      <c r="I905">
        <v>1386</v>
      </c>
      <c r="J905" s="2" t="s">
        <v>41</v>
      </c>
      <c r="K905" s="1" t="str">
        <f t="shared" si="42"/>
        <v>Has Spaces</v>
      </c>
      <c r="L905" s="1" t="b">
        <v>1</v>
      </c>
      <c r="M905" s="1" t="str">
        <f t="shared" si="43"/>
        <v>Valid</v>
      </c>
      <c r="N905">
        <v>15</v>
      </c>
      <c r="O905" s="1" t="str">
        <f t="shared" si="44"/>
        <v>Valid</v>
      </c>
      <c r="P905" t="s">
        <v>11</v>
      </c>
      <c r="Q905" s="1" t="str">
        <v>Radio/Tv</v>
      </c>
      <c r="R905">
        <v>1</v>
      </c>
      <c r="S905" s="2" t="s">
        <v>34</v>
      </c>
    </row>
    <row r="906" spans="1:19" x14ac:dyDescent="0.35">
      <c r="A906">
        <v>36</v>
      </c>
      <c r="B906" s="2" t="s">
        <v>39</v>
      </c>
      <c r="C906" t="s">
        <v>19</v>
      </c>
      <c r="D906" s="1" t="str">
        <v>Male</v>
      </c>
      <c r="E906">
        <v>3</v>
      </c>
      <c r="F906" t="s">
        <v>21</v>
      </c>
      <c r="G906" t="s">
        <v>24</v>
      </c>
      <c r="H906" t="s">
        <v>10</v>
      </c>
      <c r="I906">
        <v>1278</v>
      </c>
      <c r="J906" s="2" t="s">
        <v>41</v>
      </c>
      <c r="K906" s="1" t="str">
        <f t="shared" si="42"/>
        <v>Has Spaces</v>
      </c>
      <c r="L906" s="1" t="b">
        <v>1</v>
      </c>
      <c r="M906" s="1" t="str">
        <f t="shared" si="43"/>
        <v>Valid</v>
      </c>
      <c r="N906">
        <v>24</v>
      </c>
      <c r="O906" s="1" t="str">
        <f t="shared" si="44"/>
        <v>Valid</v>
      </c>
      <c r="P906" t="s">
        <v>11</v>
      </c>
      <c r="Q906" s="1" t="str">
        <v>Radio/Tv</v>
      </c>
      <c r="R906">
        <v>1</v>
      </c>
      <c r="S906" s="2" t="s">
        <v>34</v>
      </c>
    </row>
    <row r="907" spans="1:19" x14ac:dyDescent="0.35">
      <c r="A907">
        <v>20</v>
      </c>
      <c r="B907" s="2" t="s">
        <v>38</v>
      </c>
      <c r="C907" t="s">
        <v>19</v>
      </c>
      <c r="D907" s="1" t="str">
        <v>Male</v>
      </c>
      <c r="E907">
        <v>3</v>
      </c>
      <c r="F907" t="s">
        <v>23</v>
      </c>
      <c r="G907" t="s">
        <v>24</v>
      </c>
      <c r="H907" t="s">
        <v>24</v>
      </c>
      <c r="I907">
        <v>1107</v>
      </c>
      <c r="J907" s="2" t="s">
        <v>41</v>
      </c>
      <c r="K907" s="1" t="str">
        <f t="shared" si="42"/>
        <v>Has Spaces</v>
      </c>
      <c r="L907" s="1" t="b">
        <v>1</v>
      </c>
      <c r="M907" s="1" t="str">
        <f t="shared" si="43"/>
        <v>Valid</v>
      </c>
      <c r="N907">
        <v>12</v>
      </c>
      <c r="O907" s="1" t="str">
        <f t="shared" si="44"/>
        <v>Valid</v>
      </c>
      <c r="P907" t="s">
        <v>11</v>
      </c>
      <c r="Q907" s="1" t="str">
        <v>Radio/Tv</v>
      </c>
      <c r="R907">
        <v>1</v>
      </c>
      <c r="S907" s="2" t="s">
        <v>34</v>
      </c>
    </row>
    <row r="908" spans="1:19" x14ac:dyDescent="0.35">
      <c r="A908">
        <v>24</v>
      </c>
      <c r="B908" s="2" t="s">
        <v>38</v>
      </c>
      <c r="C908" t="s">
        <v>19</v>
      </c>
      <c r="D908" s="1" t="str">
        <v>Male</v>
      </c>
      <c r="E908">
        <v>1</v>
      </c>
      <c r="F908" t="s">
        <v>21</v>
      </c>
      <c r="G908" t="s">
        <v>10</v>
      </c>
      <c r="H908" t="s">
        <v>24</v>
      </c>
      <c r="I908">
        <v>3763</v>
      </c>
      <c r="J908" s="2" t="s">
        <v>43</v>
      </c>
      <c r="K908" s="1" t="str">
        <f t="shared" si="42"/>
        <v>Clean</v>
      </c>
      <c r="L908" s="1" t="b">
        <v>1</v>
      </c>
      <c r="M908" s="1" t="str">
        <f t="shared" si="43"/>
        <v>Valid</v>
      </c>
      <c r="N908">
        <v>21</v>
      </c>
      <c r="O908" s="1" t="str">
        <f t="shared" si="44"/>
        <v>Valid</v>
      </c>
      <c r="P908" t="s">
        <v>14</v>
      </c>
      <c r="Q908" s="1" t="str">
        <v>Car</v>
      </c>
      <c r="R908">
        <v>1</v>
      </c>
      <c r="S908" s="2" t="s">
        <v>34</v>
      </c>
    </row>
    <row r="909" spans="1:19" x14ac:dyDescent="0.35">
      <c r="A909">
        <v>27</v>
      </c>
      <c r="B909" s="2" t="s">
        <v>38</v>
      </c>
      <c r="C909" t="s">
        <v>19</v>
      </c>
      <c r="D909" s="1" t="str">
        <v>Male</v>
      </c>
      <c r="E909">
        <v>2</v>
      </c>
      <c r="F909" t="s">
        <v>21</v>
      </c>
      <c r="G909" t="s">
        <v>10</v>
      </c>
      <c r="H909" t="s">
        <v>27</v>
      </c>
      <c r="I909">
        <v>3711</v>
      </c>
      <c r="J909" s="2" t="s">
        <v>43</v>
      </c>
      <c r="K909" s="1" t="str">
        <f t="shared" si="42"/>
        <v>Clean</v>
      </c>
      <c r="L909" s="1" t="b">
        <v>1</v>
      </c>
      <c r="M909" s="1" t="str">
        <f t="shared" si="43"/>
        <v>Valid</v>
      </c>
      <c r="N909">
        <v>36</v>
      </c>
      <c r="O909" s="1" t="str">
        <f t="shared" si="44"/>
        <v>Valid</v>
      </c>
      <c r="P909" t="s">
        <v>12</v>
      </c>
      <c r="Q909" s="1" t="str">
        <v>Education</v>
      </c>
      <c r="R909">
        <v>1</v>
      </c>
      <c r="S909" s="2" t="s">
        <v>34</v>
      </c>
    </row>
    <row r="910" spans="1:19" x14ac:dyDescent="0.35">
      <c r="A910">
        <v>46</v>
      </c>
      <c r="B910" s="2" t="s">
        <v>39</v>
      </c>
      <c r="C910" t="s">
        <v>20</v>
      </c>
      <c r="D910" s="1" t="str">
        <v>Female</v>
      </c>
      <c r="E910">
        <v>1</v>
      </c>
      <c r="F910" t="s">
        <v>21</v>
      </c>
      <c r="G910" t="s">
        <v>24</v>
      </c>
      <c r="H910" t="s">
        <v>10</v>
      </c>
      <c r="I910">
        <v>3594</v>
      </c>
      <c r="J910" s="2" t="s">
        <v>43</v>
      </c>
      <c r="K910" s="1" t="str">
        <f t="shared" si="42"/>
        <v>Clean</v>
      </c>
      <c r="L910" s="1" t="b">
        <v>1</v>
      </c>
      <c r="M910" s="1" t="str">
        <f t="shared" si="43"/>
        <v>Valid</v>
      </c>
      <c r="N910">
        <v>15</v>
      </c>
      <c r="O910" s="1" t="str">
        <f t="shared" si="44"/>
        <v>Valid</v>
      </c>
      <c r="P910" t="s">
        <v>14</v>
      </c>
      <c r="Q910" s="1" t="str">
        <v>Car</v>
      </c>
      <c r="R910">
        <v>1</v>
      </c>
      <c r="S910" s="2" t="s">
        <v>34</v>
      </c>
    </row>
    <row r="911" spans="1:19" x14ac:dyDescent="0.35">
      <c r="A911">
        <v>33</v>
      </c>
      <c r="B911" s="2" t="s">
        <v>39</v>
      </c>
      <c r="C911" t="s">
        <v>20</v>
      </c>
      <c r="D911" s="1" t="str">
        <v>Female</v>
      </c>
      <c r="E911">
        <v>1</v>
      </c>
      <c r="F911" t="s">
        <v>21</v>
      </c>
      <c r="G911" t="s">
        <v>10</v>
      </c>
      <c r="H911" t="s">
        <v>27</v>
      </c>
      <c r="I911">
        <v>3195</v>
      </c>
      <c r="J911" s="2" t="s">
        <v>43</v>
      </c>
      <c r="K911" s="1" t="str">
        <f t="shared" si="42"/>
        <v>Clean</v>
      </c>
      <c r="L911" s="1" t="b">
        <v>1</v>
      </c>
      <c r="M911" s="1" t="str">
        <f t="shared" si="43"/>
        <v>Valid</v>
      </c>
      <c r="N911">
        <v>9</v>
      </c>
      <c r="O911" s="1" t="str">
        <f t="shared" si="44"/>
        <v>Valid</v>
      </c>
      <c r="P911" t="s">
        <v>14</v>
      </c>
      <c r="Q911" s="1" t="str">
        <v>Car</v>
      </c>
      <c r="R911">
        <v>1</v>
      </c>
      <c r="S911" s="2" t="s">
        <v>34</v>
      </c>
    </row>
    <row r="912" spans="1:19" x14ac:dyDescent="0.35">
      <c r="A912">
        <v>34</v>
      </c>
      <c r="B912" s="2" t="s">
        <v>39</v>
      </c>
      <c r="C912" t="s">
        <v>20</v>
      </c>
      <c r="D912" s="1" t="str">
        <v>Female</v>
      </c>
      <c r="E912">
        <v>2</v>
      </c>
      <c r="F912" t="s">
        <v>21</v>
      </c>
      <c r="G912" t="s">
        <v>24</v>
      </c>
      <c r="H912" t="s">
        <v>10</v>
      </c>
      <c r="I912">
        <v>4454</v>
      </c>
      <c r="J912" s="2" t="s">
        <v>43</v>
      </c>
      <c r="K912" s="1" t="str">
        <f t="shared" si="42"/>
        <v>Clean</v>
      </c>
      <c r="L912" s="1" t="b">
        <v>1</v>
      </c>
      <c r="M912" s="1" t="str">
        <f t="shared" si="43"/>
        <v>Valid</v>
      </c>
      <c r="N912">
        <v>36</v>
      </c>
      <c r="O912" s="1" t="str">
        <f t="shared" si="44"/>
        <v>Valid</v>
      </c>
      <c r="P912" t="s">
        <v>11</v>
      </c>
      <c r="Q912" s="1" t="str">
        <v>Radio/Tv</v>
      </c>
      <c r="R912">
        <v>1</v>
      </c>
      <c r="S912" s="2" t="s">
        <v>34</v>
      </c>
    </row>
    <row r="913" spans="1:19" x14ac:dyDescent="0.35">
      <c r="A913">
        <v>25</v>
      </c>
      <c r="B913" s="2" t="s">
        <v>38</v>
      </c>
      <c r="C913" t="s">
        <v>20</v>
      </c>
      <c r="D913" s="1" t="str">
        <v>Female</v>
      </c>
      <c r="E913">
        <v>1</v>
      </c>
      <c r="F913" t="s">
        <v>21</v>
      </c>
      <c r="G913" t="s">
        <v>24</v>
      </c>
      <c r="H913" t="s">
        <v>27</v>
      </c>
      <c r="I913">
        <v>4736</v>
      </c>
      <c r="J913" s="2" t="s">
        <v>43</v>
      </c>
      <c r="K913" s="1" t="str">
        <f t="shared" si="42"/>
        <v>Clean</v>
      </c>
      <c r="L913" s="1" t="b">
        <v>1</v>
      </c>
      <c r="M913" s="1" t="str">
        <f t="shared" si="43"/>
        <v>Valid</v>
      </c>
      <c r="N913">
        <v>24</v>
      </c>
      <c r="O913" s="1" t="str">
        <f t="shared" si="44"/>
        <v>Valid</v>
      </c>
      <c r="P913" t="s">
        <v>13</v>
      </c>
      <c r="Q913" s="1" t="str">
        <v>Furniture/Equipment</v>
      </c>
      <c r="R913">
        <v>2</v>
      </c>
      <c r="S913" s="2" t="s">
        <v>35</v>
      </c>
    </row>
    <row r="914" spans="1:19" x14ac:dyDescent="0.35">
      <c r="A914">
        <v>25</v>
      </c>
      <c r="B914" s="2" t="s">
        <v>38</v>
      </c>
      <c r="C914" t="s">
        <v>20</v>
      </c>
      <c r="D914" s="1" t="str">
        <v>Female</v>
      </c>
      <c r="E914">
        <v>2</v>
      </c>
      <c r="F914" t="s">
        <v>21</v>
      </c>
      <c r="G914" t="s">
        <v>10</v>
      </c>
      <c r="H914" t="s">
        <v>27</v>
      </c>
      <c r="I914">
        <v>2991</v>
      </c>
      <c r="J914" s="2" t="s">
        <v>43</v>
      </c>
      <c r="K914" s="1" t="str">
        <f t="shared" si="42"/>
        <v>Clean</v>
      </c>
      <c r="L914" s="1" t="b">
        <v>1</v>
      </c>
      <c r="M914" s="1" t="str">
        <f t="shared" si="43"/>
        <v>Valid</v>
      </c>
      <c r="N914">
        <v>30</v>
      </c>
      <c r="O914" s="1" t="str">
        <f t="shared" si="44"/>
        <v>Valid</v>
      </c>
      <c r="P914" t="s">
        <v>11</v>
      </c>
      <c r="Q914" s="1" t="str">
        <v>Radio/Tv</v>
      </c>
      <c r="R914">
        <v>1</v>
      </c>
      <c r="S914" s="2" t="s">
        <v>34</v>
      </c>
    </row>
    <row r="915" spans="1:19" x14ac:dyDescent="0.35">
      <c r="A915">
        <v>28</v>
      </c>
      <c r="B915" s="2" t="s">
        <v>38</v>
      </c>
      <c r="C915" t="s">
        <v>19</v>
      </c>
      <c r="D915" s="1" t="str">
        <v>Male</v>
      </c>
      <c r="E915">
        <v>2</v>
      </c>
      <c r="F915" t="s">
        <v>21</v>
      </c>
      <c r="G915" t="s">
        <v>26</v>
      </c>
      <c r="H915" t="s">
        <v>10</v>
      </c>
      <c r="I915">
        <v>2142</v>
      </c>
      <c r="J915" s="2" t="s">
        <v>43</v>
      </c>
      <c r="K915" s="1" t="str">
        <f t="shared" si="42"/>
        <v>Clean</v>
      </c>
      <c r="L915" s="1" t="b">
        <v>1</v>
      </c>
      <c r="M915" s="1" t="str">
        <f t="shared" si="43"/>
        <v>Valid</v>
      </c>
      <c r="N915">
        <v>11</v>
      </c>
      <c r="O915" s="1" t="str">
        <f t="shared" si="44"/>
        <v>Valid</v>
      </c>
      <c r="P915" t="s">
        <v>15</v>
      </c>
      <c r="Q915" s="1" t="str">
        <v>Business</v>
      </c>
      <c r="R915">
        <v>1</v>
      </c>
      <c r="S915" s="2" t="s">
        <v>34</v>
      </c>
    </row>
    <row r="916" spans="1:19" x14ac:dyDescent="0.35">
      <c r="A916">
        <v>31</v>
      </c>
      <c r="B916" s="2" t="s">
        <v>39</v>
      </c>
      <c r="C916" t="s">
        <v>19</v>
      </c>
      <c r="D916" s="1" t="str">
        <v>Male</v>
      </c>
      <c r="E916">
        <v>2</v>
      </c>
      <c r="F916" t="s">
        <v>23</v>
      </c>
      <c r="G916" t="s">
        <v>24</v>
      </c>
      <c r="H916" t="s">
        <v>24</v>
      </c>
      <c r="I916">
        <v>3161</v>
      </c>
      <c r="J916" s="2" t="s">
        <v>43</v>
      </c>
      <c r="K916" s="1" t="str">
        <f t="shared" si="42"/>
        <v>Clean</v>
      </c>
      <c r="L916" s="1" t="b">
        <v>1</v>
      </c>
      <c r="M916" s="1" t="str">
        <f t="shared" si="43"/>
        <v>Valid</v>
      </c>
      <c r="N916">
        <v>24</v>
      </c>
      <c r="O916" s="1" t="str">
        <f t="shared" si="44"/>
        <v>Valid</v>
      </c>
      <c r="P916" t="s">
        <v>15</v>
      </c>
      <c r="Q916" s="1" t="str">
        <v>Business</v>
      </c>
      <c r="R916">
        <v>2</v>
      </c>
      <c r="S916" s="2" t="s">
        <v>35</v>
      </c>
    </row>
    <row r="917" spans="1:19" x14ac:dyDescent="0.35">
      <c r="A917">
        <v>32</v>
      </c>
      <c r="B917" s="2" t="s">
        <v>39</v>
      </c>
      <c r="C917" t="s">
        <v>20</v>
      </c>
      <c r="D917" s="1" t="str">
        <v>Female</v>
      </c>
      <c r="E917">
        <v>3</v>
      </c>
      <c r="F917" t="s">
        <v>21</v>
      </c>
      <c r="G917" t="s">
        <v>24</v>
      </c>
      <c r="H917" t="s">
        <v>27</v>
      </c>
      <c r="I917">
        <v>18424</v>
      </c>
      <c r="J917" s="2" t="s">
        <v>42</v>
      </c>
      <c r="K917" s="1" t="str">
        <f t="shared" si="42"/>
        <v>Clean</v>
      </c>
      <c r="L917" s="1" t="b">
        <v>1</v>
      </c>
      <c r="M917" s="1" t="str">
        <f t="shared" si="43"/>
        <v>Valid</v>
      </c>
      <c r="N917">
        <v>48</v>
      </c>
      <c r="O917" s="1" t="str">
        <f t="shared" si="44"/>
        <v>Valid</v>
      </c>
      <c r="P917" t="s">
        <v>18</v>
      </c>
      <c r="Q917" s="1" t="str">
        <v>Vacation/Others</v>
      </c>
      <c r="R917">
        <v>2</v>
      </c>
      <c r="S917" s="2" t="s">
        <v>35</v>
      </c>
    </row>
    <row r="918" spans="1:19" x14ac:dyDescent="0.35">
      <c r="A918">
        <v>32</v>
      </c>
      <c r="B918" s="2" t="s">
        <v>39</v>
      </c>
      <c r="C918" t="s">
        <v>19</v>
      </c>
      <c r="D918" s="1" t="str">
        <v>Male</v>
      </c>
      <c r="E918">
        <v>2</v>
      </c>
      <c r="F918" t="s">
        <v>21</v>
      </c>
      <c r="G918" t="s">
        <v>27</v>
      </c>
      <c r="H918" t="s">
        <v>10</v>
      </c>
      <c r="I918">
        <v>2848</v>
      </c>
      <c r="J918" s="2" t="s">
        <v>43</v>
      </c>
      <c r="K918" s="1" t="str">
        <f t="shared" si="42"/>
        <v>Clean</v>
      </c>
      <c r="L918" s="1" t="b">
        <v>1</v>
      </c>
      <c r="M918" s="1" t="str">
        <f t="shared" si="43"/>
        <v>Valid</v>
      </c>
      <c r="N918">
        <v>10</v>
      </c>
      <c r="O918" s="1" t="str">
        <f t="shared" si="44"/>
        <v>Valid</v>
      </c>
      <c r="P918" t="s">
        <v>14</v>
      </c>
      <c r="Q918" s="1" t="str">
        <v>Car</v>
      </c>
      <c r="R918">
        <v>1</v>
      </c>
      <c r="S918" s="2" t="s">
        <v>34</v>
      </c>
    </row>
    <row r="919" spans="1:19" x14ac:dyDescent="0.35">
      <c r="A919">
        <v>68</v>
      </c>
      <c r="B919" s="2" t="s">
        <v>37</v>
      </c>
      <c r="C919" t="s">
        <v>19</v>
      </c>
      <c r="D919" s="1" t="str">
        <v>Male</v>
      </c>
      <c r="E919">
        <v>3</v>
      </c>
      <c r="F919" t="s">
        <v>21</v>
      </c>
      <c r="G919" t="s">
        <v>24</v>
      </c>
      <c r="H919" t="s">
        <v>24</v>
      </c>
      <c r="I919">
        <v>14896</v>
      </c>
      <c r="J919" s="2" t="s">
        <v>42</v>
      </c>
      <c r="K919" s="1" t="str">
        <f t="shared" si="42"/>
        <v>Clean</v>
      </c>
      <c r="L919" s="1" t="b">
        <v>1</v>
      </c>
      <c r="M919" s="1" t="str">
        <f t="shared" si="43"/>
        <v>Valid</v>
      </c>
      <c r="N919">
        <v>6</v>
      </c>
      <c r="O919" s="1" t="str">
        <f t="shared" si="44"/>
        <v>Valid</v>
      </c>
      <c r="P919" t="s">
        <v>14</v>
      </c>
      <c r="Q919" s="1" t="str">
        <v>Car</v>
      </c>
      <c r="R919">
        <v>2</v>
      </c>
      <c r="S919" s="2" t="s">
        <v>35</v>
      </c>
    </row>
    <row r="920" spans="1:19" x14ac:dyDescent="0.35">
      <c r="A920">
        <v>33</v>
      </c>
      <c r="B920" s="2" t="s">
        <v>39</v>
      </c>
      <c r="C920" t="s">
        <v>19</v>
      </c>
      <c r="D920" s="1" t="str">
        <v>Male</v>
      </c>
      <c r="E920">
        <v>2</v>
      </c>
      <c r="F920" t="s">
        <v>21</v>
      </c>
      <c r="G920" t="s">
        <v>27</v>
      </c>
      <c r="H920" t="s">
        <v>24</v>
      </c>
      <c r="I920">
        <v>2359</v>
      </c>
      <c r="J920" s="2" t="s">
        <v>43</v>
      </c>
      <c r="K920" s="1" t="str">
        <f t="shared" si="42"/>
        <v>Clean</v>
      </c>
      <c r="L920" s="1" t="b">
        <v>1</v>
      </c>
      <c r="M920" s="1" t="str">
        <f t="shared" si="43"/>
        <v>Valid</v>
      </c>
      <c r="N920">
        <v>24</v>
      </c>
      <c r="O920" s="1" t="str">
        <f t="shared" si="44"/>
        <v>Valid</v>
      </c>
      <c r="P920" t="s">
        <v>13</v>
      </c>
      <c r="Q920" s="1" t="str">
        <v>Furniture/Equipment</v>
      </c>
      <c r="R920">
        <v>2</v>
      </c>
      <c r="S920" s="2" t="s">
        <v>35</v>
      </c>
    </row>
    <row r="921" spans="1:19" x14ac:dyDescent="0.35">
      <c r="A921">
        <v>39</v>
      </c>
      <c r="B921" s="2" t="s">
        <v>39</v>
      </c>
      <c r="C921" t="s">
        <v>19</v>
      </c>
      <c r="D921" s="1" t="str">
        <v>Male</v>
      </c>
      <c r="E921">
        <v>3</v>
      </c>
      <c r="F921" t="s">
        <v>23</v>
      </c>
      <c r="G921" t="s">
        <v>24</v>
      </c>
      <c r="H921" t="s">
        <v>24</v>
      </c>
      <c r="I921">
        <v>3345</v>
      </c>
      <c r="J921" s="2" t="s">
        <v>43</v>
      </c>
      <c r="K921" s="1" t="str">
        <f t="shared" si="42"/>
        <v>Clean</v>
      </c>
      <c r="L921" s="1" t="b">
        <v>1</v>
      </c>
      <c r="M921" s="1" t="str">
        <f t="shared" si="43"/>
        <v>Valid</v>
      </c>
      <c r="N921">
        <v>24</v>
      </c>
      <c r="O921" s="1" t="str">
        <f t="shared" si="44"/>
        <v>Valid</v>
      </c>
      <c r="P921" t="s">
        <v>13</v>
      </c>
      <c r="Q921" s="1" t="str">
        <v>Furniture/Equipment</v>
      </c>
      <c r="R921">
        <v>2</v>
      </c>
      <c r="S921" s="2" t="s">
        <v>35</v>
      </c>
    </row>
    <row r="922" spans="1:19" x14ac:dyDescent="0.35">
      <c r="A922">
        <v>28</v>
      </c>
      <c r="B922" s="2" t="s">
        <v>38</v>
      </c>
      <c r="C922" t="s">
        <v>20</v>
      </c>
      <c r="D922" s="1" t="str">
        <v>Female</v>
      </c>
      <c r="E922">
        <v>2</v>
      </c>
      <c r="F922" t="s">
        <v>21</v>
      </c>
      <c r="G922" t="s">
        <v>24</v>
      </c>
      <c r="H922" t="s">
        <v>10</v>
      </c>
      <c r="I922">
        <v>1817</v>
      </c>
      <c r="J922" s="2" t="s">
        <v>41</v>
      </c>
      <c r="K922" s="1" t="str">
        <f t="shared" si="42"/>
        <v>Has Spaces</v>
      </c>
      <c r="L922" s="1" t="b">
        <v>1</v>
      </c>
      <c r="M922" s="1" t="str">
        <f t="shared" si="43"/>
        <v>Valid</v>
      </c>
      <c r="N922">
        <v>18</v>
      </c>
      <c r="O922" s="1" t="str">
        <f t="shared" si="44"/>
        <v>Valid</v>
      </c>
      <c r="P922" t="s">
        <v>13</v>
      </c>
      <c r="Q922" s="1" t="str">
        <v>Furniture/Equipment</v>
      </c>
      <c r="R922">
        <v>1</v>
      </c>
      <c r="S922" s="2" t="s">
        <v>34</v>
      </c>
    </row>
    <row r="923" spans="1:19" x14ac:dyDescent="0.35">
      <c r="A923">
        <v>37</v>
      </c>
      <c r="B923" s="2" t="s">
        <v>39</v>
      </c>
      <c r="C923" t="s">
        <v>19</v>
      </c>
      <c r="D923" s="1" t="str">
        <v>Male</v>
      </c>
      <c r="E923">
        <v>3</v>
      </c>
      <c r="F923" t="s">
        <v>21</v>
      </c>
      <c r="G923" t="s">
        <v>25</v>
      </c>
      <c r="H923" t="s">
        <v>10</v>
      </c>
      <c r="I923">
        <v>12749</v>
      </c>
      <c r="J923" s="2" t="s">
        <v>42</v>
      </c>
      <c r="K923" s="1" t="str">
        <f t="shared" si="42"/>
        <v>Clean</v>
      </c>
      <c r="L923" s="1" t="b">
        <v>1</v>
      </c>
      <c r="M923" s="1" t="str">
        <f t="shared" si="43"/>
        <v>Valid</v>
      </c>
      <c r="N923">
        <v>48</v>
      </c>
      <c r="O923" s="1" t="str">
        <f t="shared" si="44"/>
        <v>Valid</v>
      </c>
      <c r="P923" t="s">
        <v>11</v>
      </c>
      <c r="Q923" s="1" t="str">
        <v>Radio/Tv</v>
      </c>
      <c r="R923">
        <v>1</v>
      </c>
      <c r="S923" s="2" t="s">
        <v>34</v>
      </c>
    </row>
    <row r="924" spans="1:19" x14ac:dyDescent="0.35">
      <c r="A924">
        <v>22</v>
      </c>
      <c r="B924" s="2" t="s">
        <v>38</v>
      </c>
      <c r="C924" t="s">
        <v>20</v>
      </c>
      <c r="D924" s="1" t="str">
        <v>Female</v>
      </c>
      <c r="E924">
        <v>2</v>
      </c>
      <c r="F924" t="s">
        <v>23</v>
      </c>
      <c r="G924" t="s">
        <v>24</v>
      </c>
      <c r="H924" t="s">
        <v>24</v>
      </c>
      <c r="I924">
        <v>1366</v>
      </c>
      <c r="J924" s="2" t="s">
        <v>41</v>
      </c>
      <c r="K924" s="1" t="str">
        <f t="shared" si="42"/>
        <v>Has Spaces</v>
      </c>
      <c r="L924" s="1" t="b">
        <v>1</v>
      </c>
      <c r="M924" s="1" t="str">
        <f t="shared" si="43"/>
        <v>Valid</v>
      </c>
      <c r="N924">
        <v>9</v>
      </c>
      <c r="O924" s="1" t="str">
        <f t="shared" si="44"/>
        <v>Valid</v>
      </c>
      <c r="P924" t="s">
        <v>11</v>
      </c>
      <c r="Q924" s="1" t="str">
        <v>Radio/Tv</v>
      </c>
      <c r="R924">
        <v>2</v>
      </c>
      <c r="S924" s="2" t="s">
        <v>35</v>
      </c>
    </row>
    <row r="925" spans="1:19" x14ac:dyDescent="0.35">
      <c r="A925">
        <v>30</v>
      </c>
      <c r="B925" s="2" t="s">
        <v>39</v>
      </c>
      <c r="C925" t="s">
        <v>19</v>
      </c>
      <c r="D925" s="1" t="str">
        <v>Male</v>
      </c>
      <c r="E925">
        <v>2</v>
      </c>
      <c r="F925" t="s">
        <v>23</v>
      </c>
      <c r="G925" t="s">
        <v>24</v>
      </c>
      <c r="H925" t="s">
        <v>27</v>
      </c>
      <c r="I925">
        <v>2002</v>
      </c>
      <c r="J925" s="2" t="s">
        <v>43</v>
      </c>
      <c r="K925" s="1" t="str">
        <f t="shared" si="42"/>
        <v>Clean</v>
      </c>
      <c r="L925" s="1" t="b">
        <v>1</v>
      </c>
      <c r="M925" s="1" t="str">
        <f t="shared" si="43"/>
        <v>Valid</v>
      </c>
      <c r="N925">
        <v>12</v>
      </c>
      <c r="O925" s="1" t="str">
        <f t="shared" si="44"/>
        <v>Valid</v>
      </c>
      <c r="P925" t="s">
        <v>14</v>
      </c>
      <c r="Q925" s="1" t="str">
        <v>Car</v>
      </c>
      <c r="R925">
        <v>1</v>
      </c>
      <c r="S925" s="2" t="s">
        <v>34</v>
      </c>
    </row>
    <row r="926" spans="1:19" x14ac:dyDescent="0.35">
      <c r="A926">
        <v>55</v>
      </c>
      <c r="B926" s="2" t="s">
        <v>37</v>
      </c>
      <c r="C926" t="s">
        <v>19</v>
      </c>
      <c r="D926" s="1" t="str">
        <v>Male</v>
      </c>
      <c r="E926">
        <v>2</v>
      </c>
      <c r="F926" t="s">
        <v>21</v>
      </c>
      <c r="G926" t="s">
        <v>24</v>
      </c>
      <c r="H926" t="s">
        <v>24</v>
      </c>
      <c r="I926">
        <v>6872</v>
      </c>
      <c r="J926" s="2" t="s">
        <v>42</v>
      </c>
      <c r="K926" s="1" t="str">
        <f t="shared" si="42"/>
        <v>Clean</v>
      </c>
      <c r="L926" s="1" t="b">
        <v>1</v>
      </c>
      <c r="M926" s="1" t="str">
        <f t="shared" si="43"/>
        <v>Valid</v>
      </c>
      <c r="N926">
        <v>24</v>
      </c>
      <c r="O926" s="1" t="str">
        <f t="shared" si="44"/>
        <v>Valid</v>
      </c>
      <c r="P926" t="s">
        <v>13</v>
      </c>
      <c r="Q926" s="1" t="str">
        <v>Furniture/Equipment</v>
      </c>
      <c r="R926">
        <v>2</v>
      </c>
      <c r="S926" s="2" t="s">
        <v>35</v>
      </c>
    </row>
    <row r="927" spans="1:19" x14ac:dyDescent="0.35">
      <c r="A927">
        <v>46</v>
      </c>
      <c r="B927" s="2" t="s">
        <v>39</v>
      </c>
      <c r="C927" t="s">
        <v>19</v>
      </c>
      <c r="D927" s="1" t="str">
        <v>Male</v>
      </c>
      <c r="E927">
        <v>2</v>
      </c>
      <c r="F927" t="s">
        <v>21</v>
      </c>
      <c r="G927" t="s">
        <v>24</v>
      </c>
      <c r="H927" t="s">
        <v>24</v>
      </c>
      <c r="I927">
        <v>697</v>
      </c>
      <c r="J927" s="2" t="s">
        <v>41</v>
      </c>
      <c r="K927" s="1" t="str">
        <f t="shared" si="42"/>
        <v>Has Spaces</v>
      </c>
      <c r="L927" s="1" t="b">
        <v>1</v>
      </c>
      <c r="M927" s="1" t="str">
        <f t="shared" si="43"/>
        <v>Valid</v>
      </c>
      <c r="N927">
        <v>12</v>
      </c>
      <c r="O927" s="1" t="str">
        <f t="shared" si="44"/>
        <v>Valid</v>
      </c>
      <c r="P927" t="s">
        <v>14</v>
      </c>
      <c r="Q927" s="1" t="str">
        <v>Car</v>
      </c>
      <c r="R927">
        <v>2</v>
      </c>
      <c r="S927" s="2" t="s">
        <v>35</v>
      </c>
    </row>
    <row r="928" spans="1:19" x14ac:dyDescent="0.35">
      <c r="A928">
        <v>21</v>
      </c>
      <c r="B928" s="2" t="s">
        <v>38</v>
      </c>
      <c r="C928" t="s">
        <v>20</v>
      </c>
      <c r="D928" s="1" t="str">
        <v>Female</v>
      </c>
      <c r="E928">
        <v>2</v>
      </c>
      <c r="F928" t="s">
        <v>23</v>
      </c>
      <c r="G928" t="s">
        <v>24</v>
      </c>
      <c r="H928" t="s">
        <v>24</v>
      </c>
      <c r="I928">
        <v>1049</v>
      </c>
      <c r="J928" s="2" t="s">
        <v>41</v>
      </c>
      <c r="K928" s="1" t="str">
        <f t="shared" si="42"/>
        <v>Has Spaces</v>
      </c>
      <c r="L928" s="1" t="b">
        <v>1</v>
      </c>
      <c r="M928" s="1" t="str">
        <f t="shared" si="43"/>
        <v>Valid</v>
      </c>
      <c r="N928">
        <v>18</v>
      </c>
      <c r="O928" s="1" t="str">
        <f t="shared" si="44"/>
        <v>Valid</v>
      </c>
      <c r="P928" t="s">
        <v>13</v>
      </c>
      <c r="Q928" s="1" t="str">
        <v>Furniture/Equipment</v>
      </c>
      <c r="R928">
        <v>1</v>
      </c>
      <c r="S928" s="2" t="s">
        <v>34</v>
      </c>
    </row>
    <row r="929" spans="1:19" x14ac:dyDescent="0.35">
      <c r="A929">
        <v>39</v>
      </c>
      <c r="B929" s="2" t="s">
        <v>39</v>
      </c>
      <c r="C929" t="s">
        <v>19</v>
      </c>
      <c r="D929" s="1" t="str">
        <v>Male</v>
      </c>
      <c r="E929">
        <v>2</v>
      </c>
      <c r="F929" t="s">
        <v>22</v>
      </c>
      <c r="G929" t="s">
        <v>24</v>
      </c>
      <c r="H929" t="s">
        <v>24</v>
      </c>
      <c r="I929">
        <v>10297</v>
      </c>
      <c r="J929" s="2" t="s">
        <v>42</v>
      </c>
      <c r="K929" s="1" t="str">
        <f t="shared" si="42"/>
        <v>Clean</v>
      </c>
      <c r="L929" s="1" t="b">
        <v>1</v>
      </c>
      <c r="M929" s="1" t="str">
        <f t="shared" si="43"/>
        <v>Valid</v>
      </c>
      <c r="N929">
        <v>48</v>
      </c>
      <c r="O929" s="1" t="str">
        <f t="shared" si="44"/>
        <v>Valid</v>
      </c>
      <c r="P929" t="s">
        <v>14</v>
      </c>
      <c r="Q929" s="1" t="str">
        <v>Car</v>
      </c>
      <c r="R929">
        <v>2</v>
      </c>
      <c r="S929" s="2" t="s">
        <v>35</v>
      </c>
    </row>
    <row r="930" spans="1:19" x14ac:dyDescent="0.35">
      <c r="A930">
        <v>58</v>
      </c>
      <c r="B930" s="2" t="s">
        <v>37</v>
      </c>
      <c r="C930" t="s">
        <v>19</v>
      </c>
      <c r="D930" s="1" t="str">
        <v>Male</v>
      </c>
      <c r="E930">
        <v>2</v>
      </c>
      <c r="F930" t="s">
        <v>21</v>
      </c>
      <c r="G930" t="s">
        <v>10</v>
      </c>
      <c r="H930" t="s">
        <v>10</v>
      </c>
      <c r="I930">
        <v>1867</v>
      </c>
      <c r="J930" s="2" t="s">
        <v>41</v>
      </c>
      <c r="K930" s="1" t="str">
        <f t="shared" si="42"/>
        <v>Has Spaces</v>
      </c>
      <c r="L930" s="1" t="b">
        <v>1</v>
      </c>
      <c r="M930" s="1" t="str">
        <f t="shared" si="43"/>
        <v>Valid</v>
      </c>
      <c r="N930">
        <v>30</v>
      </c>
      <c r="O930" s="1" t="str">
        <f t="shared" si="44"/>
        <v>Valid</v>
      </c>
      <c r="P930" t="s">
        <v>11</v>
      </c>
      <c r="Q930" s="1" t="str">
        <v>Radio/Tv</v>
      </c>
      <c r="R930">
        <v>1</v>
      </c>
      <c r="S930" s="2" t="s">
        <v>34</v>
      </c>
    </row>
    <row r="931" spans="1:19" x14ac:dyDescent="0.35">
      <c r="A931">
        <v>43</v>
      </c>
      <c r="B931" s="2" t="s">
        <v>39</v>
      </c>
      <c r="C931" t="s">
        <v>19</v>
      </c>
      <c r="D931" s="1" t="str">
        <v>Male</v>
      </c>
      <c r="E931">
        <v>1</v>
      </c>
      <c r="F931" t="s">
        <v>21</v>
      </c>
      <c r="G931" t="s">
        <v>24</v>
      </c>
      <c r="H931" t="s">
        <v>24</v>
      </c>
      <c r="I931">
        <v>1344</v>
      </c>
      <c r="J931" s="2" t="s">
        <v>41</v>
      </c>
      <c r="K931" s="1" t="str">
        <f t="shared" si="42"/>
        <v>Has Spaces</v>
      </c>
      <c r="L931" s="1" t="b">
        <v>1</v>
      </c>
      <c r="M931" s="1" t="str">
        <f t="shared" si="43"/>
        <v>Valid</v>
      </c>
      <c r="N931">
        <v>12</v>
      </c>
      <c r="O931" s="1" t="str">
        <f t="shared" si="44"/>
        <v>Valid</v>
      </c>
      <c r="P931" t="s">
        <v>14</v>
      </c>
      <c r="Q931" s="1" t="str">
        <v>Car</v>
      </c>
      <c r="R931">
        <v>1</v>
      </c>
      <c r="S931" s="2" t="s">
        <v>34</v>
      </c>
    </row>
    <row r="932" spans="1:19" x14ac:dyDescent="0.35">
      <c r="A932">
        <v>24</v>
      </c>
      <c r="B932" s="2" t="s">
        <v>38</v>
      </c>
      <c r="C932" t="s">
        <v>19</v>
      </c>
      <c r="D932" s="1" t="str">
        <v>Male</v>
      </c>
      <c r="E932">
        <v>1</v>
      </c>
      <c r="F932" t="s">
        <v>21</v>
      </c>
      <c r="G932" t="s">
        <v>24</v>
      </c>
      <c r="H932" t="s">
        <v>24</v>
      </c>
      <c r="I932">
        <v>1747</v>
      </c>
      <c r="J932" s="2" t="s">
        <v>41</v>
      </c>
      <c r="K932" s="1" t="str">
        <f t="shared" si="42"/>
        <v>Has Spaces</v>
      </c>
      <c r="L932" s="1" t="b">
        <v>1</v>
      </c>
      <c r="M932" s="1" t="str">
        <f t="shared" si="43"/>
        <v>Valid</v>
      </c>
      <c r="N932">
        <v>24</v>
      </c>
      <c r="O932" s="1" t="str">
        <f t="shared" si="44"/>
        <v>Valid</v>
      </c>
      <c r="P932" t="s">
        <v>13</v>
      </c>
      <c r="Q932" s="1" t="str">
        <v>Furniture/Equipment</v>
      </c>
      <c r="R932">
        <v>1</v>
      </c>
      <c r="S932" s="2" t="s">
        <v>34</v>
      </c>
    </row>
    <row r="933" spans="1:19" x14ac:dyDescent="0.35">
      <c r="A933">
        <v>22</v>
      </c>
      <c r="B933" s="2" t="s">
        <v>38</v>
      </c>
      <c r="C933" t="s">
        <v>20</v>
      </c>
      <c r="D933" s="1" t="str">
        <v>Female</v>
      </c>
      <c r="E933">
        <v>2</v>
      </c>
      <c r="F933" t="s">
        <v>21</v>
      </c>
      <c r="G933" t="s">
        <v>24</v>
      </c>
      <c r="H933" t="s">
        <v>27</v>
      </c>
      <c r="I933">
        <v>1670</v>
      </c>
      <c r="J933" s="2" t="s">
        <v>41</v>
      </c>
      <c r="K933" s="1" t="str">
        <f t="shared" si="42"/>
        <v>Has Spaces</v>
      </c>
      <c r="L933" s="1" t="b">
        <v>1</v>
      </c>
      <c r="M933" s="1" t="str">
        <f t="shared" si="43"/>
        <v>Valid</v>
      </c>
      <c r="N933">
        <v>9</v>
      </c>
      <c r="O933" s="1" t="str">
        <f t="shared" si="44"/>
        <v>Valid</v>
      </c>
      <c r="P933" t="s">
        <v>11</v>
      </c>
      <c r="Q933" s="1" t="str">
        <v>Radio/Tv</v>
      </c>
      <c r="R933">
        <v>2</v>
      </c>
      <c r="S933" s="2" t="s">
        <v>35</v>
      </c>
    </row>
    <row r="934" spans="1:19" x14ac:dyDescent="0.35">
      <c r="A934">
        <v>30</v>
      </c>
      <c r="B934" s="2" t="s">
        <v>39</v>
      </c>
      <c r="C934" t="s">
        <v>19</v>
      </c>
      <c r="D934" s="1" t="str">
        <v>Male</v>
      </c>
      <c r="E934">
        <v>2</v>
      </c>
      <c r="F934" t="s">
        <v>21</v>
      </c>
      <c r="G934" t="s">
        <v>24</v>
      </c>
      <c r="H934" t="s">
        <v>10</v>
      </c>
      <c r="I934">
        <v>1224</v>
      </c>
      <c r="J934" s="2" t="s">
        <v>41</v>
      </c>
      <c r="K934" s="1" t="str">
        <f t="shared" si="42"/>
        <v>Has Spaces</v>
      </c>
      <c r="L934" s="1" t="b">
        <v>1</v>
      </c>
      <c r="M934" s="1" t="str">
        <f t="shared" si="43"/>
        <v>Valid</v>
      </c>
      <c r="N934">
        <v>9</v>
      </c>
      <c r="O934" s="1" t="str">
        <f t="shared" si="44"/>
        <v>Valid</v>
      </c>
      <c r="P934" t="s">
        <v>14</v>
      </c>
      <c r="Q934" s="1" t="str">
        <v>Car</v>
      </c>
      <c r="R934">
        <v>1</v>
      </c>
      <c r="S934" s="2" t="s">
        <v>34</v>
      </c>
    </row>
    <row r="935" spans="1:19" x14ac:dyDescent="0.35">
      <c r="A935">
        <v>42</v>
      </c>
      <c r="B935" s="2" t="s">
        <v>39</v>
      </c>
      <c r="C935" t="s">
        <v>19</v>
      </c>
      <c r="D935" s="1" t="str">
        <v>Male</v>
      </c>
      <c r="E935">
        <v>2</v>
      </c>
      <c r="F935" t="s">
        <v>21</v>
      </c>
      <c r="G935" t="s">
        <v>25</v>
      </c>
      <c r="H935" t="s">
        <v>10</v>
      </c>
      <c r="I935">
        <v>522</v>
      </c>
      <c r="J935" s="2" t="s">
        <v>41</v>
      </c>
      <c r="K935" s="1" t="str">
        <f t="shared" si="42"/>
        <v>Has Spaces</v>
      </c>
      <c r="L935" s="1" t="b">
        <v>1</v>
      </c>
      <c r="M935" s="1" t="str">
        <f t="shared" si="43"/>
        <v>Valid</v>
      </c>
      <c r="N935">
        <v>12</v>
      </c>
      <c r="O935" s="1" t="str">
        <f t="shared" si="44"/>
        <v>Valid</v>
      </c>
      <c r="P935" t="s">
        <v>11</v>
      </c>
      <c r="Q935" s="1" t="str">
        <v>Radio/Tv</v>
      </c>
      <c r="R935">
        <v>1</v>
      </c>
      <c r="S935" s="2" t="s">
        <v>34</v>
      </c>
    </row>
    <row r="936" spans="1:19" x14ac:dyDescent="0.35">
      <c r="A936">
        <v>23</v>
      </c>
      <c r="B936" s="2" t="s">
        <v>38</v>
      </c>
      <c r="C936" t="s">
        <v>20</v>
      </c>
      <c r="D936" s="1" t="str">
        <v>Female</v>
      </c>
      <c r="E936">
        <v>2</v>
      </c>
      <c r="F936" t="s">
        <v>21</v>
      </c>
      <c r="G936" t="s">
        <v>24</v>
      </c>
      <c r="H936" t="s">
        <v>24</v>
      </c>
      <c r="I936">
        <v>1498</v>
      </c>
      <c r="J936" s="2" t="s">
        <v>41</v>
      </c>
      <c r="K936" s="1" t="str">
        <f t="shared" si="42"/>
        <v>Has Spaces</v>
      </c>
      <c r="L936" s="1" t="b">
        <v>1</v>
      </c>
      <c r="M936" s="1" t="str">
        <f t="shared" si="43"/>
        <v>Valid</v>
      </c>
      <c r="N936">
        <v>12</v>
      </c>
      <c r="O936" s="1" t="str">
        <f t="shared" si="44"/>
        <v>Valid</v>
      </c>
      <c r="P936" t="s">
        <v>11</v>
      </c>
      <c r="Q936" s="1" t="str">
        <v>Radio/Tv</v>
      </c>
      <c r="R936">
        <v>1</v>
      </c>
      <c r="S936" s="2" t="s">
        <v>34</v>
      </c>
    </row>
    <row r="937" spans="1:19" x14ac:dyDescent="0.35">
      <c r="A937">
        <v>30</v>
      </c>
      <c r="B937" s="2" t="s">
        <v>39</v>
      </c>
      <c r="C937" t="s">
        <v>19</v>
      </c>
      <c r="D937" s="1" t="str">
        <v>Male</v>
      </c>
      <c r="E937">
        <v>3</v>
      </c>
      <c r="F937" t="s">
        <v>21</v>
      </c>
      <c r="G937" t="s">
        <v>27</v>
      </c>
      <c r="H937" t="s">
        <v>27</v>
      </c>
      <c r="I937">
        <v>1919</v>
      </c>
      <c r="J937" s="2" t="s">
        <v>41</v>
      </c>
      <c r="K937" s="1" t="str">
        <f t="shared" si="42"/>
        <v>Has Spaces</v>
      </c>
      <c r="L937" s="1" t="b">
        <v>1</v>
      </c>
      <c r="M937" s="1" t="str">
        <f t="shared" si="43"/>
        <v>Valid</v>
      </c>
      <c r="N937">
        <v>30</v>
      </c>
      <c r="O937" s="1" t="str">
        <f t="shared" si="44"/>
        <v>Valid</v>
      </c>
      <c r="P937" t="s">
        <v>11</v>
      </c>
      <c r="Q937" s="1" t="str">
        <v>Radio/Tv</v>
      </c>
      <c r="R937">
        <v>2</v>
      </c>
      <c r="S937" s="2" t="s">
        <v>35</v>
      </c>
    </row>
    <row r="938" spans="1:19" x14ac:dyDescent="0.35">
      <c r="A938">
        <v>28</v>
      </c>
      <c r="B938" s="2" t="s">
        <v>38</v>
      </c>
      <c r="C938" t="s">
        <v>20</v>
      </c>
      <c r="D938" s="1" t="str">
        <v>Female</v>
      </c>
      <c r="E938">
        <v>1</v>
      </c>
      <c r="F938" t="s">
        <v>21</v>
      </c>
      <c r="G938" t="s">
        <v>24</v>
      </c>
      <c r="H938" t="s">
        <v>26</v>
      </c>
      <c r="I938">
        <v>745</v>
      </c>
      <c r="J938" s="2" t="s">
        <v>41</v>
      </c>
      <c r="K938" s="1" t="str">
        <f t="shared" si="42"/>
        <v>Has Spaces</v>
      </c>
      <c r="L938" s="1" t="b">
        <v>1</v>
      </c>
      <c r="M938" s="1" t="str">
        <f t="shared" si="43"/>
        <v>Valid</v>
      </c>
      <c r="N938">
        <v>9</v>
      </c>
      <c r="O938" s="1" t="str">
        <f t="shared" si="44"/>
        <v>Valid</v>
      </c>
      <c r="P938" t="s">
        <v>11</v>
      </c>
      <c r="Q938" s="1" t="str">
        <v>Radio/Tv</v>
      </c>
      <c r="R938">
        <v>2</v>
      </c>
      <c r="S938" s="2" t="s">
        <v>35</v>
      </c>
    </row>
    <row r="939" spans="1:19" x14ac:dyDescent="0.35">
      <c r="A939">
        <v>30</v>
      </c>
      <c r="B939" s="2" t="s">
        <v>39</v>
      </c>
      <c r="C939" t="s">
        <v>19</v>
      </c>
      <c r="D939" s="1" t="str">
        <v>Male</v>
      </c>
      <c r="E939">
        <v>3</v>
      </c>
      <c r="F939" t="s">
        <v>23</v>
      </c>
      <c r="G939" t="s">
        <v>24</v>
      </c>
      <c r="H939" t="s">
        <v>27</v>
      </c>
      <c r="I939">
        <v>2063</v>
      </c>
      <c r="J939" s="2" t="s">
        <v>43</v>
      </c>
      <c r="K939" s="1" t="str">
        <f t="shared" si="42"/>
        <v>Clean</v>
      </c>
      <c r="L939" s="1" t="b">
        <v>1</v>
      </c>
      <c r="M939" s="1" t="str">
        <f t="shared" si="43"/>
        <v>Valid</v>
      </c>
      <c r="N939">
        <v>6</v>
      </c>
      <c r="O939" s="1" t="str">
        <f t="shared" si="44"/>
        <v>Valid</v>
      </c>
      <c r="P939" t="s">
        <v>11</v>
      </c>
      <c r="Q939" s="1" t="str">
        <v>Radio/Tv</v>
      </c>
      <c r="R939">
        <v>1</v>
      </c>
      <c r="S939" s="2" t="s">
        <v>34</v>
      </c>
    </row>
    <row r="940" spans="1:19" x14ac:dyDescent="0.35">
      <c r="A940">
        <v>42</v>
      </c>
      <c r="B940" s="2" t="s">
        <v>39</v>
      </c>
      <c r="C940" t="s">
        <v>19</v>
      </c>
      <c r="D940" s="1" t="str">
        <v>Male</v>
      </c>
      <c r="E940">
        <v>2</v>
      </c>
      <c r="F940" t="s">
        <v>22</v>
      </c>
      <c r="G940" t="s">
        <v>24</v>
      </c>
      <c r="H940" t="s">
        <v>27</v>
      </c>
      <c r="I940">
        <v>6288</v>
      </c>
      <c r="J940" s="2" t="s">
        <v>42</v>
      </c>
      <c r="K940" s="1" t="str">
        <f t="shared" si="42"/>
        <v>Clean</v>
      </c>
      <c r="L940" s="1" t="b">
        <v>1</v>
      </c>
      <c r="M940" s="1" t="str">
        <f t="shared" si="43"/>
        <v>Valid</v>
      </c>
      <c r="N940">
        <v>60</v>
      </c>
      <c r="O940" s="1" t="str">
        <f t="shared" si="44"/>
        <v>Valid</v>
      </c>
      <c r="P940" t="s">
        <v>12</v>
      </c>
      <c r="Q940" s="1" t="str">
        <v>Education</v>
      </c>
      <c r="R940">
        <v>2</v>
      </c>
      <c r="S940" s="2" t="s">
        <v>35</v>
      </c>
    </row>
    <row r="941" spans="1:19" x14ac:dyDescent="0.35">
      <c r="A941">
        <v>46</v>
      </c>
      <c r="B941" s="2" t="s">
        <v>39</v>
      </c>
      <c r="C941" t="s">
        <v>19</v>
      </c>
      <c r="D941" s="1" t="str">
        <v>Male</v>
      </c>
      <c r="E941">
        <v>3</v>
      </c>
      <c r="F941" t="s">
        <v>21</v>
      </c>
      <c r="G941" t="s">
        <v>10</v>
      </c>
      <c r="H941" t="s">
        <v>10</v>
      </c>
      <c r="I941">
        <v>6842</v>
      </c>
      <c r="J941" s="2" t="s">
        <v>42</v>
      </c>
      <c r="K941" s="1" t="str">
        <f t="shared" si="42"/>
        <v>Clean</v>
      </c>
      <c r="L941" s="1" t="b">
        <v>1</v>
      </c>
      <c r="M941" s="1" t="str">
        <f t="shared" si="43"/>
        <v>Valid</v>
      </c>
      <c r="N941">
        <v>24</v>
      </c>
      <c r="O941" s="1" t="str">
        <f t="shared" si="44"/>
        <v>Valid</v>
      </c>
      <c r="P941" t="s">
        <v>14</v>
      </c>
      <c r="Q941" s="1" t="str">
        <v>Car</v>
      </c>
      <c r="R941">
        <v>1</v>
      </c>
      <c r="S941" s="2" t="s">
        <v>34</v>
      </c>
    </row>
    <row r="942" spans="1:19" x14ac:dyDescent="0.35">
      <c r="A942">
        <v>45</v>
      </c>
      <c r="B942" s="2" t="s">
        <v>39</v>
      </c>
      <c r="C942" t="s">
        <v>19</v>
      </c>
      <c r="D942" s="1" t="str">
        <v>Male</v>
      </c>
      <c r="E942">
        <v>3</v>
      </c>
      <c r="F942" t="s">
        <v>21</v>
      </c>
      <c r="G942" t="s">
        <v>10</v>
      </c>
      <c r="H942" t="s">
        <v>10</v>
      </c>
      <c r="I942">
        <v>3527</v>
      </c>
      <c r="J942" s="2" t="s">
        <v>43</v>
      </c>
      <c r="K942" s="1" t="str">
        <f t="shared" si="42"/>
        <v>Clean</v>
      </c>
      <c r="L942" s="1" t="b">
        <v>1</v>
      </c>
      <c r="M942" s="1" t="str">
        <f t="shared" si="43"/>
        <v>Valid</v>
      </c>
      <c r="N942">
        <v>12</v>
      </c>
      <c r="O942" s="1" t="str">
        <f t="shared" si="44"/>
        <v>Valid</v>
      </c>
      <c r="P942" t="s">
        <v>14</v>
      </c>
      <c r="Q942" s="1" t="str">
        <v>Car</v>
      </c>
      <c r="R942">
        <v>1</v>
      </c>
      <c r="S942" s="2" t="s">
        <v>34</v>
      </c>
    </row>
    <row r="943" spans="1:19" x14ac:dyDescent="0.35">
      <c r="A943">
        <v>31</v>
      </c>
      <c r="B943" s="2" t="s">
        <v>39</v>
      </c>
      <c r="C943" t="s">
        <v>19</v>
      </c>
      <c r="D943" s="1" t="str">
        <v>Male</v>
      </c>
      <c r="E943">
        <v>1</v>
      </c>
      <c r="F943" t="s">
        <v>21</v>
      </c>
      <c r="G943" t="s">
        <v>24</v>
      </c>
      <c r="H943" t="s">
        <v>10</v>
      </c>
      <c r="I943">
        <v>1546</v>
      </c>
      <c r="J943" s="2" t="s">
        <v>41</v>
      </c>
      <c r="K943" s="1" t="str">
        <f t="shared" si="42"/>
        <v>Has Spaces</v>
      </c>
      <c r="L943" s="1" t="b">
        <v>1</v>
      </c>
      <c r="M943" s="1" t="str">
        <f t="shared" si="43"/>
        <v>Valid</v>
      </c>
      <c r="N943">
        <v>10</v>
      </c>
      <c r="O943" s="1" t="str">
        <f t="shared" si="44"/>
        <v>Valid</v>
      </c>
      <c r="P943" t="s">
        <v>14</v>
      </c>
      <c r="Q943" s="1" t="str">
        <v>Car</v>
      </c>
      <c r="R943">
        <v>1</v>
      </c>
      <c r="S943" s="2" t="s">
        <v>34</v>
      </c>
    </row>
    <row r="944" spans="1:19" x14ac:dyDescent="0.35">
      <c r="A944">
        <v>31</v>
      </c>
      <c r="B944" s="2" t="s">
        <v>39</v>
      </c>
      <c r="C944" t="s">
        <v>19</v>
      </c>
      <c r="D944" s="1" t="str">
        <v>Male</v>
      </c>
      <c r="E944">
        <v>2</v>
      </c>
      <c r="F944" t="s">
        <v>21</v>
      </c>
      <c r="G944" t="s">
        <v>10</v>
      </c>
      <c r="H944" t="s">
        <v>10</v>
      </c>
      <c r="I944">
        <v>929</v>
      </c>
      <c r="J944" s="2" t="s">
        <v>41</v>
      </c>
      <c r="K944" s="1" t="str">
        <f t="shared" si="42"/>
        <v>Has Spaces</v>
      </c>
      <c r="L944" s="1" t="b">
        <v>1</v>
      </c>
      <c r="M944" s="1" t="str">
        <f t="shared" si="43"/>
        <v>Valid</v>
      </c>
      <c r="N944">
        <v>24</v>
      </c>
      <c r="O944" s="1" t="str">
        <f t="shared" si="44"/>
        <v>Valid</v>
      </c>
      <c r="P944" t="s">
        <v>13</v>
      </c>
      <c r="Q944" s="1" t="str">
        <v>Furniture/Equipment</v>
      </c>
      <c r="R944">
        <v>1</v>
      </c>
      <c r="S944" s="2" t="s">
        <v>34</v>
      </c>
    </row>
    <row r="945" spans="1:19" x14ac:dyDescent="0.35">
      <c r="A945">
        <v>42</v>
      </c>
      <c r="B945" s="2" t="s">
        <v>39</v>
      </c>
      <c r="C945" t="s">
        <v>19</v>
      </c>
      <c r="D945" s="1" t="str">
        <v>Male</v>
      </c>
      <c r="E945">
        <v>1</v>
      </c>
      <c r="F945" t="s">
        <v>21</v>
      </c>
      <c r="G945" t="s">
        <v>24</v>
      </c>
      <c r="H945" t="s">
        <v>10</v>
      </c>
      <c r="I945">
        <v>1455</v>
      </c>
      <c r="J945" s="2" t="s">
        <v>41</v>
      </c>
      <c r="K945" s="1" t="str">
        <f t="shared" si="42"/>
        <v>Has Spaces</v>
      </c>
      <c r="L945" s="1" t="b">
        <v>1</v>
      </c>
      <c r="M945" s="1" t="str">
        <f t="shared" si="43"/>
        <v>Valid</v>
      </c>
      <c r="N945">
        <v>4</v>
      </c>
      <c r="O945" s="1" t="str">
        <f t="shared" si="44"/>
        <v>Valid</v>
      </c>
      <c r="P945" t="s">
        <v>14</v>
      </c>
      <c r="Q945" s="1" t="str">
        <v>Car</v>
      </c>
      <c r="R945">
        <v>1</v>
      </c>
      <c r="S945" s="2" t="s">
        <v>34</v>
      </c>
    </row>
    <row r="946" spans="1:19" x14ac:dyDescent="0.35">
      <c r="A946">
        <v>46</v>
      </c>
      <c r="B946" s="2" t="s">
        <v>39</v>
      </c>
      <c r="C946" t="s">
        <v>20</v>
      </c>
      <c r="D946" s="1" t="str">
        <v>Female</v>
      </c>
      <c r="E946">
        <v>2</v>
      </c>
      <c r="F946" t="s">
        <v>23</v>
      </c>
      <c r="G946" t="s">
        <v>24</v>
      </c>
      <c r="H946" t="s">
        <v>24</v>
      </c>
      <c r="I946">
        <v>1845</v>
      </c>
      <c r="J946" s="2" t="s">
        <v>41</v>
      </c>
      <c r="K946" s="1" t="str">
        <f t="shared" si="42"/>
        <v>Has Spaces</v>
      </c>
      <c r="L946" s="1" t="b">
        <v>1</v>
      </c>
      <c r="M946" s="1" t="str">
        <f t="shared" si="43"/>
        <v>Valid</v>
      </c>
      <c r="N946">
        <v>15</v>
      </c>
      <c r="O946" s="1" t="str">
        <f t="shared" si="44"/>
        <v>Valid</v>
      </c>
      <c r="P946" t="s">
        <v>13</v>
      </c>
      <c r="Q946" s="1" t="str">
        <v>Furniture/Equipment</v>
      </c>
      <c r="R946">
        <v>1</v>
      </c>
      <c r="S946" s="2" t="s">
        <v>34</v>
      </c>
    </row>
    <row r="947" spans="1:19" x14ac:dyDescent="0.35">
      <c r="A947">
        <v>30</v>
      </c>
      <c r="B947" s="2" t="s">
        <v>39</v>
      </c>
      <c r="C947" t="s">
        <v>20</v>
      </c>
      <c r="D947" s="1" t="str">
        <v>Female</v>
      </c>
      <c r="E947">
        <v>2</v>
      </c>
      <c r="F947" t="s">
        <v>21</v>
      </c>
      <c r="G947" t="s">
        <v>25</v>
      </c>
      <c r="H947" t="s">
        <v>27</v>
      </c>
      <c r="I947">
        <v>8358</v>
      </c>
      <c r="J947" s="2" t="s">
        <v>42</v>
      </c>
      <c r="K947" s="1" t="str">
        <f t="shared" si="42"/>
        <v>Clean</v>
      </c>
      <c r="L947" s="1" t="b">
        <v>1</v>
      </c>
      <c r="M947" s="1" t="str">
        <f t="shared" si="43"/>
        <v>Valid</v>
      </c>
      <c r="N947">
        <v>48</v>
      </c>
      <c r="O947" s="1" t="str">
        <f t="shared" si="44"/>
        <v>Valid</v>
      </c>
      <c r="P947" t="s">
        <v>14</v>
      </c>
      <c r="Q947" s="1" t="str">
        <v>Car</v>
      </c>
      <c r="R947">
        <v>1</v>
      </c>
      <c r="S947" s="2" t="s">
        <v>34</v>
      </c>
    </row>
    <row r="948" spans="1:19" x14ac:dyDescent="0.35">
      <c r="A948">
        <v>30</v>
      </c>
      <c r="B948" s="2" t="s">
        <v>39</v>
      </c>
      <c r="C948" t="s">
        <v>19</v>
      </c>
      <c r="D948" s="1" t="str">
        <v>Male</v>
      </c>
      <c r="E948">
        <v>2</v>
      </c>
      <c r="F948" t="s">
        <v>22</v>
      </c>
      <c r="G948" t="s">
        <v>25</v>
      </c>
      <c r="H948" t="s">
        <v>24</v>
      </c>
      <c r="I948">
        <v>3349</v>
      </c>
      <c r="J948" s="2" t="s">
        <v>43</v>
      </c>
      <c r="K948" s="1" t="str">
        <f t="shared" si="42"/>
        <v>Clean</v>
      </c>
      <c r="L948" s="1" t="b">
        <v>1</v>
      </c>
      <c r="M948" s="1" t="str">
        <f t="shared" si="43"/>
        <v>Valid</v>
      </c>
      <c r="N948">
        <v>24</v>
      </c>
      <c r="O948" s="1" t="str">
        <f t="shared" si="44"/>
        <v>Valid</v>
      </c>
      <c r="P948" t="s">
        <v>13</v>
      </c>
      <c r="Q948" s="1" t="str">
        <v>Furniture/Equipment</v>
      </c>
      <c r="R948">
        <v>2</v>
      </c>
      <c r="S948" s="2" t="s">
        <v>35</v>
      </c>
    </row>
    <row r="949" spans="1:19" x14ac:dyDescent="0.35">
      <c r="A949">
        <v>38</v>
      </c>
      <c r="B949" s="2" t="s">
        <v>39</v>
      </c>
      <c r="C949" t="s">
        <v>19</v>
      </c>
      <c r="D949" s="1" t="str">
        <v>Male</v>
      </c>
      <c r="E949">
        <v>3</v>
      </c>
      <c r="F949" t="s">
        <v>21</v>
      </c>
      <c r="G949" t="s">
        <v>10</v>
      </c>
      <c r="H949" t="s">
        <v>10</v>
      </c>
      <c r="I949">
        <v>2859</v>
      </c>
      <c r="J949" s="2" t="s">
        <v>43</v>
      </c>
      <c r="K949" s="1" t="str">
        <f t="shared" si="42"/>
        <v>Clean</v>
      </c>
      <c r="L949" s="1" t="b">
        <v>1</v>
      </c>
      <c r="M949" s="1" t="str">
        <f t="shared" si="43"/>
        <v>Valid</v>
      </c>
      <c r="N949">
        <v>12</v>
      </c>
      <c r="O949" s="1" t="str">
        <f t="shared" si="44"/>
        <v>Valid</v>
      </c>
      <c r="P949" t="s">
        <v>14</v>
      </c>
      <c r="Q949" s="1" t="str">
        <v>Car</v>
      </c>
      <c r="R949">
        <v>1</v>
      </c>
      <c r="S949" s="2" t="s">
        <v>34</v>
      </c>
    </row>
    <row r="950" spans="1:19" x14ac:dyDescent="0.35">
      <c r="A950">
        <v>43</v>
      </c>
      <c r="B950" s="2" t="s">
        <v>39</v>
      </c>
      <c r="C950" t="s">
        <v>19</v>
      </c>
      <c r="D950" s="1" t="str">
        <v>Male</v>
      </c>
      <c r="E950">
        <v>1</v>
      </c>
      <c r="F950" t="s">
        <v>21</v>
      </c>
      <c r="G950" t="s">
        <v>24</v>
      </c>
      <c r="H950" t="s">
        <v>10</v>
      </c>
      <c r="I950">
        <v>1533</v>
      </c>
      <c r="J950" s="2" t="s">
        <v>41</v>
      </c>
      <c r="K950" s="1" t="str">
        <f t="shared" si="42"/>
        <v>Has Spaces</v>
      </c>
      <c r="L950" s="1" t="b">
        <v>1</v>
      </c>
      <c r="M950" s="1" t="str">
        <f t="shared" si="43"/>
        <v>Valid</v>
      </c>
      <c r="N950">
        <v>18</v>
      </c>
      <c r="O950" s="1" t="str">
        <f t="shared" si="44"/>
        <v>Valid</v>
      </c>
      <c r="P950" t="s">
        <v>13</v>
      </c>
      <c r="Q950" s="1" t="str">
        <v>Furniture/Equipment</v>
      </c>
      <c r="R950">
        <v>2</v>
      </c>
      <c r="S950" s="2" t="s">
        <v>35</v>
      </c>
    </row>
    <row r="951" spans="1:19" x14ac:dyDescent="0.35">
      <c r="A951">
        <v>31</v>
      </c>
      <c r="B951" s="2" t="s">
        <v>39</v>
      </c>
      <c r="C951" t="s">
        <v>19</v>
      </c>
      <c r="D951" s="1" t="str">
        <v>Male</v>
      </c>
      <c r="E951">
        <v>2</v>
      </c>
      <c r="F951" t="s">
        <v>21</v>
      </c>
      <c r="G951" t="s">
        <v>27</v>
      </c>
      <c r="H951" t="s">
        <v>10</v>
      </c>
      <c r="I951">
        <v>3621</v>
      </c>
      <c r="J951" s="2" t="s">
        <v>43</v>
      </c>
      <c r="K951" s="1" t="str">
        <f t="shared" si="42"/>
        <v>Clean</v>
      </c>
      <c r="L951" s="1" t="b">
        <v>1</v>
      </c>
      <c r="M951" s="1" t="str">
        <f t="shared" si="43"/>
        <v>Valid</v>
      </c>
      <c r="N951">
        <v>24</v>
      </c>
      <c r="O951" s="1" t="str">
        <f t="shared" si="44"/>
        <v>Valid</v>
      </c>
      <c r="P951" t="s">
        <v>11</v>
      </c>
      <c r="Q951" s="1" t="str">
        <v>Radio/Tv</v>
      </c>
      <c r="R951">
        <v>2</v>
      </c>
      <c r="S951" s="2" t="s">
        <v>35</v>
      </c>
    </row>
    <row r="952" spans="1:19" x14ac:dyDescent="0.35">
      <c r="A952">
        <v>40</v>
      </c>
      <c r="B952" s="2" t="s">
        <v>39</v>
      </c>
      <c r="C952" t="s">
        <v>19</v>
      </c>
      <c r="D952" s="1" t="str">
        <v>Male</v>
      </c>
      <c r="E952">
        <v>0</v>
      </c>
      <c r="F952" t="s">
        <v>21</v>
      </c>
      <c r="G952" t="s">
        <v>24</v>
      </c>
      <c r="H952" t="s">
        <v>27</v>
      </c>
      <c r="I952">
        <v>3590</v>
      </c>
      <c r="J952" s="2" t="s">
        <v>43</v>
      </c>
      <c r="K952" s="1" t="str">
        <f t="shared" si="42"/>
        <v>Clean</v>
      </c>
      <c r="L952" s="1" t="b">
        <v>1</v>
      </c>
      <c r="M952" s="1" t="str">
        <f t="shared" si="43"/>
        <v>Valid</v>
      </c>
      <c r="N952">
        <v>18</v>
      </c>
      <c r="O952" s="1" t="str">
        <f t="shared" si="44"/>
        <v>Valid</v>
      </c>
      <c r="P952" t="s">
        <v>15</v>
      </c>
      <c r="Q952" s="1" t="str">
        <v>Business</v>
      </c>
      <c r="R952">
        <v>1</v>
      </c>
      <c r="S952" s="2" t="s">
        <v>34</v>
      </c>
    </row>
    <row r="953" spans="1:19" x14ac:dyDescent="0.35">
      <c r="A953">
        <v>24</v>
      </c>
      <c r="B953" s="2" t="s">
        <v>38</v>
      </c>
      <c r="C953" t="s">
        <v>19</v>
      </c>
      <c r="D953" s="1" t="str">
        <v>Male</v>
      </c>
      <c r="E953">
        <v>2</v>
      </c>
      <c r="F953" t="s">
        <v>21</v>
      </c>
      <c r="G953" t="s">
        <v>24</v>
      </c>
      <c r="H953" t="s">
        <v>24</v>
      </c>
      <c r="I953">
        <v>2145</v>
      </c>
      <c r="J953" s="2" t="s">
        <v>43</v>
      </c>
      <c r="K953" s="1" t="str">
        <f t="shared" si="42"/>
        <v>Clean</v>
      </c>
      <c r="L953" s="1" t="b">
        <v>1</v>
      </c>
      <c r="M953" s="1" t="str">
        <f t="shared" si="43"/>
        <v>Valid</v>
      </c>
      <c r="N953">
        <v>36</v>
      </c>
      <c r="O953" s="1" t="str">
        <f t="shared" si="44"/>
        <v>Valid</v>
      </c>
      <c r="P953" t="s">
        <v>15</v>
      </c>
      <c r="Q953" s="1" t="str">
        <v>Business</v>
      </c>
      <c r="R953">
        <v>2</v>
      </c>
      <c r="S953" s="2" t="s">
        <v>35</v>
      </c>
    </row>
    <row r="954" spans="1:19" x14ac:dyDescent="0.35">
      <c r="A954">
        <v>28</v>
      </c>
      <c r="B954" s="2" t="s">
        <v>38</v>
      </c>
      <c r="C954" t="s">
        <v>20</v>
      </c>
      <c r="D954" s="1" t="str">
        <v>Female</v>
      </c>
      <c r="E954">
        <v>2</v>
      </c>
      <c r="F954" t="s">
        <v>23</v>
      </c>
      <c r="G954" t="s">
        <v>25</v>
      </c>
      <c r="H954" t="s">
        <v>27</v>
      </c>
      <c r="I954">
        <v>4113</v>
      </c>
      <c r="J954" s="2" t="s">
        <v>43</v>
      </c>
      <c r="K954" s="1" t="str">
        <f t="shared" si="42"/>
        <v>Clean</v>
      </c>
      <c r="L954" s="1" t="b">
        <v>1</v>
      </c>
      <c r="M954" s="1" t="str">
        <f t="shared" si="43"/>
        <v>Valid</v>
      </c>
      <c r="N954">
        <v>24</v>
      </c>
      <c r="O954" s="1" t="str">
        <f t="shared" si="44"/>
        <v>Valid</v>
      </c>
      <c r="P954" t="s">
        <v>14</v>
      </c>
      <c r="Q954" s="1" t="str">
        <v>Car</v>
      </c>
      <c r="R954">
        <v>2</v>
      </c>
      <c r="S954" s="2" t="s">
        <v>35</v>
      </c>
    </row>
    <row r="955" spans="1:19" x14ac:dyDescent="0.35">
      <c r="A955">
        <v>26</v>
      </c>
      <c r="B955" s="2" t="s">
        <v>38</v>
      </c>
      <c r="C955" t="s">
        <v>20</v>
      </c>
      <c r="D955" s="1" t="str">
        <v>Female</v>
      </c>
      <c r="E955">
        <v>3</v>
      </c>
      <c r="F955" t="s">
        <v>21</v>
      </c>
      <c r="G955" t="s">
        <v>24</v>
      </c>
      <c r="H955" t="s">
        <v>10</v>
      </c>
      <c r="I955">
        <v>10974</v>
      </c>
      <c r="J955" s="2" t="s">
        <v>42</v>
      </c>
      <c r="K955" s="1" t="str">
        <f t="shared" si="42"/>
        <v>Clean</v>
      </c>
      <c r="L955" s="1" t="b">
        <v>1</v>
      </c>
      <c r="M955" s="1" t="str">
        <f t="shared" si="43"/>
        <v>Valid</v>
      </c>
      <c r="N955">
        <v>36</v>
      </c>
      <c r="O955" s="1" t="str">
        <f t="shared" si="44"/>
        <v>Valid</v>
      </c>
      <c r="P955" t="s">
        <v>13</v>
      </c>
      <c r="Q955" s="1" t="str">
        <v>Furniture/Equipment</v>
      </c>
      <c r="R955">
        <v>2</v>
      </c>
      <c r="S955" s="2" t="s">
        <v>35</v>
      </c>
    </row>
  </sheetData>
  <autoFilter ref="A1:R955" xr:uid="{8F095BC2-6134-4C93-A531-FAB61300E026}"/>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3EC3A-8CC5-4B4C-B116-2A585C603CDB}">
  <dimension ref="A1:M955"/>
  <sheetViews>
    <sheetView workbookViewId="0">
      <selection activeCell="J10" sqref="J10"/>
    </sheetView>
  </sheetViews>
  <sheetFormatPr defaultRowHeight="14.5" x14ac:dyDescent="0.35"/>
  <cols>
    <col min="1" max="1" width="6.08984375" bestFit="1" customWidth="1"/>
    <col min="2" max="2" width="11" bestFit="1" customWidth="1"/>
    <col min="3" max="3" width="6.81640625" bestFit="1" customWidth="1"/>
    <col min="4" max="4" width="5.7265625" bestFit="1" customWidth="1"/>
    <col min="5" max="5" width="9.6328125" bestFit="1" customWidth="1"/>
    <col min="6" max="6" width="16.26953125" bestFit="1" customWidth="1"/>
    <col min="7" max="7" width="17.7265625" bestFit="1" customWidth="1"/>
    <col min="8" max="8" width="14.6328125" bestFit="1" customWidth="1"/>
    <col min="9" max="9" width="18.6328125" bestFit="1" customWidth="1"/>
    <col min="10" max="10" width="10.08984375" bestFit="1" customWidth="1"/>
    <col min="11" max="11" width="18.08984375" bestFit="1" customWidth="1"/>
    <col min="12" max="12" width="11.81640625" bestFit="1" customWidth="1"/>
    <col min="13" max="13" width="11.6328125" bestFit="1" customWidth="1"/>
  </cols>
  <sheetData>
    <row r="1" spans="1:13" x14ac:dyDescent="0.35">
      <c r="A1" s="23" t="s">
        <v>0</v>
      </c>
      <c r="B1" s="23" t="s">
        <v>36</v>
      </c>
      <c r="C1" s="23" t="s">
        <v>1</v>
      </c>
      <c r="D1" s="23" t="s">
        <v>2</v>
      </c>
      <c r="E1" s="23" t="s">
        <v>3</v>
      </c>
      <c r="F1" s="23" t="s">
        <v>4</v>
      </c>
      <c r="G1" s="23" t="s">
        <v>5</v>
      </c>
      <c r="H1" s="23" t="s">
        <v>6</v>
      </c>
      <c r="I1" s="23" t="s">
        <v>40</v>
      </c>
      <c r="J1" s="23" t="s">
        <v>7</v>
      </c>
      <c r="K1" s="23" t="s">
        <v>8</v>
      </c>
      <c r="L1" s="23" t="s">
        <v>9</v>
      </c>
      <c r="M1" s="23" t="s">
        <v>33</v>
      </c>
    </row>
    <row r="2" spans="1:13" x14ac:dyDescent="0.35">
      <c r="A2" s="18">
        <v>67</v>
      </c>
      <c r="B2" s="22" t="s">
        <v>37</v>
      </c>
      <c r="C2" s="18" t="s">
        <v>19</v>
      </c>
      <c r="D2" s="18">
        <v>2</v>
      </c>
      <c r="E2" s="18" t="s">
        <v>21</v>
      </c>
      <c r="F2" s="18" t="s">
        <v>10</v>
      </c>
      <c r="G2" s="18" t="s">
        <v>24</v>
      </c>
      <c r="H2" s="18">
        <v>1169</v>
      </c>
      <c r="I2" s="22" t="s">
        <v>46</v>
      </c>
      <c r="J2" s="18">
        <v>6</v>
      </c>
      <c r="K2" s="18" t="s">
        <v>11</v>
      </c>
      <c r="L2" s="18">
        <v>1</v>
      </c>
      <c r="M2" s="22" t="s">
        <v>34</v>
      </c>
    </row>
    <row r="3" spans="1:13" x14ac:dyDescent="0.35">
      <c r="A3" s="18">
        <v>22</v>
      </c>
      <c r="B3" s="22" t="s">
        <v>38</v>
      </c>
      <c r="C3" s="18" t="s">
        <v>20</v>
      </c>
      <c r="D3" s="18">
        <v>2</v>
      </c>
      <c r="E3" s="18" t="s">
        <v>21</v>
      </c>
      <c r="F3" s="18" t="s">
        <v>24</v>
      </c>
      <c r="G3" s="18" t="s">
        <v>27</v>
      </c>
      <c r="H3" s="18">
        <v>5951</v>
      </c>
      <c r="I3" s="22" t="s">
        <v>42</v>
      </c>
      <c r="J3" s="18">
        <v>48</v>
      </c>
      <c r="K3" s="18" t="s">
        <v>11</v>
      </c>
      <c r="L3" s="18">
        <v>2</v>
      </c>
      <c r="M3" s="22" t="s">
        <v>45</v>
      </c>
    </row>
    <row r="4" spans="1:13" x14ac:dyDescent="0.35">
      <c r="A4" s="18">
        <v>49</v>
      </c>
      <c r="B4" s="22" t="s">
        <v>39</v>
      </c>
      <c r="C4" s="18" t="s">
        <v>19</v>
      </c>
      <c r="D4" s="18">
        <v>1</v>
      </c>
      <c r="E4" s="18" t="s">
        <v>21</v>
      </c>
      <c r="F4" s="18" t="s">
        <v>24</v>
      </c>
      <c r="G4" s="18" t="s">
        <v>10</v>
      </c>
      <c r="H4" s="18">
        <v>2096</v>
      </c>
      <c r="I4" s="22" t="s">
        <v>43</v>
      </c>
      <c r="J4" s="18">
        <v>12</v>
      </c>
      <c r="K4" s="18" t="s">
        <v>12</v>
      </c>
      <c r="L4" s="18">
        <v>1</v>
      </c>
      <c r="M4" s="22" t="s">
        <v>34</v>
      </c>
    </row>
    <row r="5" spans="1:13" x14ac:dyDescent="0.35">
      <c r="A5" s="18">
        <v>45</v>
      </c>
      <c r="B5" s="22" t="s">
        <v>39</v>
      </c>
      <c r="C5" s="18" t="s">
        <v>19</v>
      </c>
      <c r="D5" s="18">
        <v>2</v>
      </c>
      <c r="E5" s="18" t="s">
        <v>22</v>
      </c>
      <c r="F5" s="18" t="s">
        <v>24</v>
      </c>
      <c r="G5" s="18" t="s">
        <v>24</v>
      </c>
      <c r="H5" s="18">
        <v>7882</v>
      </c>
      <c r="I5" s="22" t="s">
        <v>42</v>
      </c>
      <c r="J5" s="18">
        <v>42</v>
      </c>
      <c r="K5" s="18" t="s">
        <v>13</v>
      </c>
      <c r="L5" s="18">
        <v>1</v>
      </c>
      <c r="M5" s="22" t="s">
        <v>34</v>
      </c>
    </row>
    <row r="6" spans="1:13" x14ac:dyDescent="0.35">
      <c r="A6" s="18">
        <v>53</v>
      </c>
      <c r="B6" s="22" t="s">
        <v>37</v>
      </c>
      <c r="C6" s="18" t="s">
        <v>19</v>
      </c>
      <c r="D6" s="18">
        <v>2</v>
      </c>
      <c r="E6" s="18" t="s">
        <v>22</v>
      </c>
      <c r="F6" s="18" t="s">
        <v>24</v>
      </c>
      <c r="G6" s="18" t="s">
        <v>24</v>
      </c>
      <c r="H6" s="18">
        <v>4870</v>
      </c>
      <c r="I6" s="22" t="s">
        <v>43</v>
      </c>
      <c r="J6" s="18">
        <v>24</v>
      </c>
      <c r="K6" s="18" t="s">
        <v>14</v>
      </c>
      <c r="L6" s="18">
        <v>2</v>
      </c>
      <c r="M6" s="22" t="s">
        <v>45</v>
      </c>
    </row>
    <row r="7" spans="1:13" x14ac:dyDescent="0.35">
      <c r="A7" s="18">
        <v>35</v>
      </c>
      <c r="B7" s="22" t="s">
        <v>39</v>
      </c>
      <c r="C7" s="18" t="s">
        <v>19</v>
      </c>
      <c r="D7" s="18">
        <v>1</v>
      </c>
      <c r="E7" s="18" t="s">
        <v>22</v>
      </c>
      <c r="F7" s="18" t="s">
        <v>10</v>
      </c>
      <c r="G7" s="18" t="s">
        <v>10</v>
      </c>
      <c r="H7" s="18">
        <v>9055</v>
      </c>
      <c r="I7" s="22" t="s">
        <v>42</v>
      </c>
      <c r="J7" s="18">
        <v>36</v>
      </c>
      <c r="K7" s="18" t="s">
        <v>12</v>
      </c>
      <c r="L7" s="18">
        <v>1</v>
      </c>
      <c r="M7" s="22" t="s">
        <v>34</v>
      </c>
    </row>
    <row r="8" spans="1:13" x14ac:dyDescent="0.35">
      <c r="A8" s="18">
        <v>53</v>
      </c>
      <c r="B8" s="22" t="s">
        <v>37</v>
      </c>
      <c r="C8" s="18" t="s">
        <v>19</v>
      </c>
      <c r="D8" s="18">
        <v>2</v>
      </c>
      <c r="E8" s="18" t="s">
        <v>21</v>
      </c>
      <c r="F8" s="18" t="s">
        <v>25</v>
      </c>
      <c r="G8" s="18" t="s">
        <v>10</v>
      </c>
      <c r="H8" s="18">
        <v>2835</v>
      </c>
      <c r="I8" s="22" t="s">
        <v>43</v>
      </c>
      <c r="J8" s="18">
        <v>24</v>
      </c>
      <c r="K8" s="18" t="s">
        <v>13</v>
      </c>
      <c r="L8" s="18">
        <v>1</v>
      </c>
      <c r="M8" s="22" t="s">
        <v>34</v>
      </c>
    </row>
    <row r="9" spans="1:13" x14ac:dyDescent="0.35">
      <c r="A9" s="18">
        <v>35</v>
      </c>
      <c r="B9" s="22" t="s">
        <v>39</v>
      </c>
      <c r="C9" s="18" t="s">
        <v>19</v>
      </c>
      <c r="D9" s="18">
        <v>3</v>
      </c>
      <c r="E9" s="18" t="s">
        <v>23</v>
      </c>
      <c r="F9" s="18" t="s">
        <v>24</v>
      </c>
      <c r="G9" s="18" t="s">
        <v>27</v>
      </c>
      <c r="H9" s="18">
        <v>6948</v>
      </c>
      <c r="I9" s="22" t="s">
        <v>42</v>
      </c>
      <c r="J9" s="18">
        <v>36</v>
      </c>
      <c r="K9" s="18" t="s">
        <v>14</v>
      </c>
      <c r="L9" s="18">
        <v>1</v>
      </c>
      <c r="M9" s="22" t="s">
        <v>34</v>
      </c>
    </row>
    <row r="10" spans="1:13" x14ac:dyDescent="0.35">
      <c r="A10" s="18">
        <v>61</v>
      </c>
      <c r="B10" s="22" t="s">
        <v>37</v>
      </c>
      <c r="C10" s="18" t="s">
        <v>19</v>
      </c>
      <c r="D10" s="18">
        <v>1</v>
      </c>
      <c r="E10" s="18" t="s">
        <v>21</v>
      </c>
      <c r="F10" s="18" t="s">
        <v>26</v>
      </c>
      <c r="G10" s="18" t="s">
        <v>10</v>
      </c>
      <c r="H10" s="18">
        <v>3059</v>
      </c>
      <c r="I10" s="22" t="s">
        <v>43</v>
      </c>
      <c r="J10" s="18">
        <v>12</v>
      </c>
      <c r="K10" s="18" t="s">
        <v>11</v>
      </c>
      <c r="L10" s="18">
        <v>1</v>
      </c>
      <c r="M10" s="22" t="s">
        <v>34</v>
      </c>
    </row>
    <row r="11" spans="1:13" x14ac:dyDescent="0.35">
      <c r="A11" s="18">
        <v>28</v>
      </c>
      <c r="B11" s="22" t="s">
        <v>38</v>
      </c>
      <c r="C11" s="18" t="s">
        <v>19</v>
      </c>
      <c r="D11" s="18">
        <v>3</v>
      </c>
      <c r="E11" s="18" t="s">
        <v>21</v>
      </c>
      <c r="F11" s="18" t="s">
        <v>24</v>
      </c>
      <c r="G11" s="18" t="s">
        <v>27</v>
      </c>
      <c r="H11" s="18">
        <v>5234</v>
      </c>
      <c r="I11" s="22" t="s">
        <v>42</v>
      </c>
      <c r="J11" s="18">
        <v>30</v>
      </c>
      <c r="K11" s="18" t="s">
        <v>14</v>
      </c>
      <c r="L11" s="18">
        <v>2</v>
      </c>
      <c r="M11" s="22" t="s">
        <v>45</v>
      </c>
    </row>
    <row r="12" spans="1:13" x14ac:dyDescent="0.35">
      <c r="A12" s="18">
        <v>25</v>
      </c>
      <c r="B12" s="22" t="s">
        <v>38</v>
      </c>
      <c r="C12" s="18" t="s">
        <v>20</v>
      </c>
      <c r="D12" s="18">
        <v>2</v>
      </c>
      <c r="E12" s="18" t="s">
        <v>23</v>
      </c>
      <c r="F12" s="18" t="s">
        <v>24</v>
      </c>
      <c r="G12" s="18" t="s">
        <v>27</v>
      </c>
      <c r="H12" s="18">
        <v>1295</v>
      </c>
      <c r="I12" s="22" t="s">
        <v>46</v>
      </c>
      <c r="J12" s="18">
        <v>12</v>
      </c>
      <c r="K12" s="18" t="s">
        <v>14</v>
      </c>
      <c r="L12" s="18">
        <v>2</v>
      </c>
      <c r="M12" s="22" t="s">
        <v>45</v>
      </c>
    </row>
    <row r="13" spans="1:13" x14ac:dyDescent="0.35">
      <c r="A13" s="18">
        <v>24</v>
      </c>
      <c r="B13" s="22" t="s">
        <v>38</v>
      </c>
      <c r="C13" s="18" t="s">
        <v>20</v>
      </c>
      <c r="D13" s="18">
        <v>2</v>
      </c>
      <c r="E13" s="18" t="s">
        <v>23</v>
      </c>
      <c r="F13" s="18" t="s">
        <v>24</v>
      </c>
      <c r="G13" s="18" t="s">
        <v>24</v>
      </c>
      <c r="H13" s="18">
        <v>4308</v>
      </c>
      <c r="I13" s="22" t="s">
        <v>43</v>
      </c>
      <c r="J13" s="18">
        <v>48</v>
      </c>
      <c r="K13" s="18" t="s">
        <v>15</v>
      </c>
      <c r="L13" s="18">
        <v>2</v>
      </c>
      <c r="M13" s="22" t="s">
        <v>45</v>
      </c>
    </row>
    <row r="14" spans="1:13" x14ac:dyDescent="0.35">
      <c r="A14" s="18">
        <v>22</v>
      </c>
      <c r="B14" s="22" t="s">
        <v>38</v>
      </c>
      <c r="C14" s="18" t="s">
        <v>20</v>
      </c>
      <c r="D14" s="18">
        <v>2</v>
      </c>
      <c r="E14" s="18" t="s">
        <v>21</v>
      </c>
      <c r="F14" s="18" t="s">
        <v>24</v>
      </c>
      <c r="G14" s="18" t="s">
        <v>27</v>
      </c>
      <c r="H14" s="18">
        <v>1567</v>
      </c>
      <c r="I14" s="22" t="s">
        <v>46</v>
      </c>
      <c r="J14" s="18">
        <v>12</v>
      </c>
      <c r="K14" s="18" t="s">
        <v>11</v>
      </c>
      <c r="L14" s="18">
        <v>1</v>
      </c>
      <c r="M14" s="22" t="s">
        <v>34</v>
      </c>
    </row>
    <row r="15" spans="1:13" x14ac:dyDescent="0.35">
      <c r="A15" s="18">
        <v>60</v>
      </c>
      <c r="B15" s="22" t="s">
        <v>37</v>
      </c>
      <c r="C15" s="18" t="s">
        <v>19</v>
      </c>
      <c r="D15" s="18">
        <v>1</v>
      </c>
      <c r="E15" s="18" t="s">
        <v>21</v>
      </c>
      <c r="F15" s="18" t="s">
        <v>24</v>
      </c>
      <c r="G15" s="18" t="s">
        <v>24</v>
      </c>
      <c r="H15" s="18">
        <v>1199</v>
      </c>
      <c r="I15" s="22" t="s">
        <v>46</v>
      </c>
      <c r="J15" s="18">
        <v>24</v>
      </c>
      <c r="K15" s="18" t="s">
        <v>14</v>
      </c>
      <c r="L15" s="18">
        <v>2</v>
      </c>
      <c r="M15" s="22" t="s">
        <v>45</v>
      </c>
    </row>
    <row r="16" spans="1:13" x14ac:dyDescent="0.35">
      <c r="A16" s="18">
        <v>28</v>
      </c>
      <c r="B16" s="22" t="s">
        <v>38</v>
      </c>
      <c r="C16" s="18" t="s">
        <v>20</v>
      </c>
      <c r="D16" s="18">
        <v>2</v>
      </c>
      <c r="E16" s="18" t="s">
        <v>23</v>
      </c>
      <c r="F16" s="18" t="s">
        <v>24</v>
      </c>
      <c r="G16" s="18" t="s">
        <v>24</v>
      </c>
      <c r="H16" s="18">
        <v>1403</v>
      </c>
      <c r="I16" s="22" t="s">
        <v>46</v>
      </c>
      <c r="J16" s="18">
        <v>15</v>
      </c>
      <c r="K16" s="18" t="s">
        <v>14</v>
      </c>
      <c r="L16" s="18">
        <v>1</v>
      </c>
      <c r="M16" s="22" t="s">
        <v>34</v>
      </c>
    </row>
    <row r="17" spans="1:13" x14ac:dyDescent="0.35">
      <c r="A17" s="18">
        <v>32</v>
      </c>
      <c r="B17" s="22" t="s">
        <v>39</v>
      </c>
      <c r="C17" s="18" t="s">
        <v>20</v>
      </c>
      <c r="D17" s="18">
        <v>1</v>
      </c>
      <c r="E17" s="18" t="s">
        <v>21</v>
      </c>
      <c r="F17" s="18" t="s">
        <v>27</v>
      </c>
      <c r="G17" s="18" t="s">
        <v>24</v>
      </c>
      <c r="H17" s="18">
        <v>1282</v>
      </c>
      <c r="I17" s="22" t="s">
        <v>46</v>
      </c>
      <c r="J17" s="18">
        <v>24</v>
      </c>
      <c r="K17" s="18" t="s">
        <v>11</v>
      </c>
      <c r="L17" s="18">
        <v>2</v>
      </c>
      <c r="M17" s="22" t="s">
        <v>45</v>
      </c>
    </row>
    <row r="18" spans="1:13" x14ac:dyDescent="0.35">
      <c r="A18" s="18">
        <v>53</v>
      </c>
      <c r="B18" s="22" t="s">
        <v>37</v>
      </c>
      <c r="C18" s="18" t="s">
        <v>19</v>
      </c>
      <c r="D18" s="18">
        <v>2</v>
      </c>
      <c r="E18" s="18" t="s">
        <v>21</v>
      </c>
      <c r="F18" s="18" t="s">
        <v>10</v>
      </c>
      <c r="G18" s="18" t="s">
        <v>10</v>
      </c>
      <c r="H18" s="18">
        <v>2424</v>
      </c>
      <c r="I18" s="22" t="s">
        <v>43</v>
      </c>
      <c r="J18" s="18">
        <v>24</v>
      </c>
      <c r="K18" s="18" t="s">
        <v>11</v>
      </c>
      <c r="L18" s="18">
        <v>1</v>
      </c>
      <c r="M18" s="22" t="s">
        <v>34</v>
      </c>
    </row>
    <row r="19" spans="1:13" x14ac:dyDescent="0.35">
      <c r="A19" s="18">
        <v>25</v>
      </c>
      <c r="B19" s="22" t="s">
        <v>38</v>
      </c>
      <c r="C19" s="18" t="s">
        <v>19</v>
      </c>
      <c r="D19" s="18">
        <v>2</v>
      </c>
      <c r="E19" s="18" t="s">
        <v>21</v>
      </c>
      <c r="F19" s="18" t="s">
        <v>10</v>
      </c>
      <c r="G19" s="18" t="s">
        <v>24</v>
      </c>
      <c r="H19" s="18">
        <v>8072</v>
      </c>
      <c r="I19" s="22" t="s">
        <v>42</v>
      </c>
      <c r="J19" s="18">
        <v>30</v>
      </c>
      <c r="K19" s="18" t="s">
        <v>15</v>
      </c>
      <c r="L19" s="18">
        <v>1</v>
      </c>
      <c r="M19" s="22" t="s">
        <v>34</v>
      </c>
    </row>
    <row r="20" spans="1:13" x14ac:dyDescent="0.35">
      <c r="A20" s="18">
        <v>44</v>
      </c>
      <c r="B20" s="22" t="s">
        <v>39</v>
      </c>
      <c r="C20" s="18" t="s">
        <v>20</v>
      </c>
      <c r="D20" s="18">
        <v>3</v>
      </c>
      <c r="E20" s="18" t="s">
        <v>22</v>
      </c>
      <c r="F20" s="18" t="s">
        <v>24</v>
      </c>
      <c r="G20" s="18" t="s">
        <v>27</v>
      </c>
      <c r="H20" s="18">
        <v>12579</v>
      </c>
      <c r="I20" s="22" t="s">
        <v>42</v>
      </c>
      <c r="J20" s="18">
        <v>24</v>
      </c>
      <c r="K20" s="18" t="s">
        <v>14</v>
      </c>
      <c r="L20" s="18">
        <v>2</v>
      </c>
      <c r="M20" s="22" t="s">
        <v>45</v>
      </c>
    </row>
    <row r="21" spans="1:13" x14ac:dyDescent="0.35">
      <c r="A21" s="18">
        <v>31</v>
      </c>
      <c r="B21" s="22" t="s">
        <v>39</v>
      </c>
      <c r="C21" s="18" t="s">
        <v>19</v>
      </c>
      <c r="D21" s="18">
        <v>2</v>
      </c>
      <c r="E21" s="18" t="s">
        <v>21</v>
      </c>
      <c r="F21" s="18" t="s">
        <v>25</v>
      </c>
      <c r="G21" s="18" t="s">
        <v>10</v>
      </c>
      <c r="H21" s="18">
        <v>3430</v>
      </c>
      <c r="I21" s="22" t="s">
        <v>43</v>
      </c>
      <c r="J21" s="18">
        <v>24</v>
      </c>
      <c r="K21" s="18" t="s">
        <v>11</v>
      </c>
      <c r="L21" s="18">
        <v>1</v>
      </c>
      <c r="M21" s="22" t="s">
        <v>34</v>
      </c>
    </row>
    <row r="22" spans="1:13" x14ac:dyDescent="0.35">
      <c r="A22" s="18">
        <v>48</v>
      </c>
      <c r="B22" s="22" t="s">
        <v>39</v>
      </c>
      <c r="C22" s="18" t="s">
        <v>19</v>
      </c>
      <c r="D22" s="18">
        <v>2</v>
      </c>
      <c r="E22" s="18" t="s">
        <v>21</v>
      </c>
      <c r="F22" s="18" t="s">
        <v>24</v>
      </c>
      <c r="G22" s="18" t="s">
        <v>10</v>
      </c>
      <c r="H22" s="18">
        <v>2134</v>
      </c>
      <c r="I22" s="22" t="s">
        <v>43</v>
      </c>
      <c r="J22" s="18">
        <v>9</v>
      </c>
      <c r="K22" s="18" t="s">
        <v>14</v>
      </c>
      <c r="L22" s="18">
        <v>1</v>
      </c>
      <c r="M22" s="22" t="s">
        <v>34</v>
      </c>
    </row>
    <row r="23" spans="1:13" x14ac:dyDescent="0.35">
      <c r="A23" s="18">
        <v>44</v>
      </c>
      <c r="B23" s="22" t="s">
        <v>39</v>
      </c>
      <c r="C23" s="18" t="s">
        <v>19</v>
      </c>
      <c r="D23" s="18">
        <v>2</v>
      </c>
      <c r="E23" s="18" t="s">
        <v>23</v>
      </c>
      <c r="F23" s="18" t="s">
        <v>25</v>
      </c>
      <c r="G23" s="18" t="s">
        <v>24</v>
      </c>
      <c r="H23" s="18">
        <v>2647</v>
      </c>
      <c r="I23" s="22" t="s">
        <v>43</v>
      </c>
      <c r="J23" s="18">
        <v>6</v>
      </c>
      <c r="K23" s="18" t="s">
        <v>11</v>
      </c>
      <c r="L23" s="18">
        <v>1</v>
      </c>
      <c r="M23" s="22" t="s">
        <v>34</v>
      </c>
    </row>
    <row r="24" spans="1:13" x14ac:dyDescent="0.35">
      <c r="A24" s="18">
        <v>48</v>
      </c>
      <c r="B24" s="22" t="s">
        <v>39</v>
      </c>
      <c r="C24" s="18" t="s">
        <v>19</v>
      </c>
      <c r="D24" s="18">
        <v>1</v>
      </c>
      <c r="E24" s="18" t="s">
        <v>23</v>
      </c>
      <c r="F24" s="18" t="s">
        <v>24</v>
      </c>
      <c r="G24" s="18" t="s">
        <v>24</v>
      </c>
      <c r="H24" s="18">
        <v>2241</v>
      </c>
      <c r="I24" s="22" t="s">
        <v>43</v>
      </c>
      <c r="J24" s="18">
        <v>10</v>
      </c>
      <c r="K24" s="18" t="s">
        <v>14</v>
      </c>
      <c r="L24" s="18">
        <v>1</v>
      </c>
      <c r="M24" s="22" t="s">
        <v>34</v>
      </c>
    </row>
    <row r="25" spans="1:13" x14ac:dyDescent="0.35">
      <c r="A25" s="18">
        <v>44</v>
      </c>
      <c r="B25" s="22" t="s">
        <v>39</v>
      </c>
      <c r="C25" s="18" t="s">
        <v>19</v>
      </c>
      <c r="D25" s="18">
        <v>2</v>
      </c>
      <c r="E25" s="18" t="s">
        <v>21</v>
      </c>
      <c r="F25" s="18" t="s">
        <v>27</v>
      </c>
      <c r="G25" s="18" t="s">
        <v>27</v>
      </c>
      <c r="H25" s="18">
        <v>1804</v>
      </c>
      <c r="I25" s="22" t="s">
        <v>46</v>
      </c>
      <c r="J25" s="18">
        <v>12</v>
      </c>
      <c r="K25" s="18" t="s">
        <v>14</v>
      </c>
      <c r="L25" s="18">
        <v>1</v>
      </c>
      <c r="M25" s="22" t="s">
        <v>34</v>
      </c>
    </row>
    <row r="26" spans="1:13" x14ac:dyDescent="0.35">
      <c r="A26" s="18">
        <v>26</v>
      </c>
      <c r="B26" s="22" t="s">
        <v>38</v>
      </c>
      <c r="C26" s="18" t="s">
        <v>19</v>
      </c>
      <c r="D26" s="18">
        <v>2</v>
      </c>
      <c r="E26" s="18" t="s">
        <v>21</v>
      </c>
      <c r="F26" s="18" t="s">
        <v>10</v>
      </c>
      <c r="G26" s="18" t="s">
        <v>10</v>
      </c>
      <c r="H26" s="18">
        <v>2069</v>
      </c>
      <c r="I26" s="22" t="s">
        <v>43</v>
      </c>
      <c r="J26" s="18">
        <v>10</v>
      </c>
      <c r="K26" s="18" t="s">
        <v>13</v>
      </c>
      <c r="L26" s="18">
        <v>1</v>
      </c>
      <c r="M26" s="22" t="s">
        <v>34</v>
      </c>
    </row>
    <row r="27" spans="1:13" x14ac:dyDescent="0.35">
      <c r="A27" s="18">
        <v>36</v>
      </c>
      <c r="B27" s="22" t="s">
        <v>39</v>
      </c>
      <c r="C27" s="18" t="s">
        <v>19</v>
      </c>
      <c r="D27" s="18">
        <v>1</v>
      </c>
      <c r="E27" s="18" t="s">
        <v>21</v>
      </c>
      <c r="F27" s="18" t="s">
        <v>24</v>
      </c>
      <c r="G27" s="18" t="s">
        <v>24</v>
      </c>
      <c r="H27" s="18">
        <v>1374</v>
      </c>
      <c r="I27" s="22" t="s">
        <v>46</v>
      </c>
      <c r="J27" s="18">
        <v>6</v>
      </c>
      <c r="K27" s="18" t="s">
        <v>13</v>
      </c>
      <c r="L27" s="18">
        <v>1</v>
      </c>
      <c r="M27" s="22" t="s">
        <v>34</v>
      </c>
    </row>
    <row r="28" spans="1:13" x14ac:dyDescent="0.35">
      <c r="A28" s="18">
        <v>39</v>
      </c>
      <c r="B28" s="22" t="s">
        <v>39</v>
      </c>
      <c r="C28" s="18" t="s">
        <v>19</v>
      </c>
      <c r="D28" s="18">
        <v>1</v>
      </c>
      <c r="E28" s="18" t="s">
        <v>21</v>
      </c>
      <c r="F28" s="18" t="s">
        <v>24</v>
      </c>
      <c r="G28" s="18" t="s">
        <v>10</v>
      </c>
      <c r="H28" s="18">
        <v>426</v>
      </c>
      <c r="I28" s="22" t="s">
        <v>46</v>
      </c>
      <c r="J28" s="18">
        <v>6</v>
      </c>
      <c r="K28" s="18" t="s">
        <v>11</v>
      </c>
      <c r="L28" s="18">
        <v>1</v>
      </c>
      <c r="M28" s="22" t="s">
        <v>34</v>
      </c>
    </row>
    <row r="29" spans="1:13" x14ac:dyDescent="0.35">
      <c r="A29" s="18">
        <v>42</v>
      </c>
      <c r="B29" s="22" t="s">
        <v>39</v>
      </c>
      <c r="C29" s="18" t="s">
        <v>20</v>
      </c>
      <c r="D29" s="18">
        <v>2</v>
      </c>
      <c r="E29" s="18" t="s">
        <v>23</v>
      </c>
      <c r="F29" s="18" t="s">
        <v>26</v>
      </c>
      <c r="G29" s="18" t="s">
        <v>26</v>
      </c>
      <c r="H29" s="18">
        <v>409</v>
      </c>
      <c r="I29" s="22" t="s">
        <v>46</v>
      </c>
      <c r="J29" s="18">
        <v>12</v>
      </c>
      <c r="K29" s="18" t="s">
        <v>11</v>
      </c>
      <c r="L29" s="18">
        <v>1</v>
      </c>
      <c r="M29" s="22" t="s">
        <v>34</v>
      </c>
    </row>
    <row r="30" spans="1:13" x14ac:dyDescent="0.35">
      <c r="A30" s="18">
        <v>34</v>
      </c>
      <c r="B30" s="22" t="s">
        <v>39</v>
      </c>
      <c r="C30" s="18" t="s">
        <v>19</v>
      </c>
      <c r="D30" s="18">
        <v>2</v>
      </c>
      <c r="E30" s="18" t="s">
        <v>21</v>
      </c>
      <c r="F30" s="18" t="s">
        <v>24</v>
      </c>
      <c r="G30" s="18" t="s">
        <v>27</v>
      </c>
      <c r="H30" s="18">
        <v>2415</v>
      </c>
      <c r="I30" s="22" t="s">
        <v>43</v>
      </c>
      <c r="J30" s="18">
        <v>7</v>
      </c>
      <c r="K30" s="18" t="s">
        <v>11</v>
      </c>
      <c r="L30" s="18">
        <v>1</v>
      </c>
      <c r="M30" s="22" t="s">
        <v>34</v>
      </c>
    </row>
    <row r="31" spans="1:13" x14ac:dyDescent="0.35">
      <c r="A31" s="18">
        <v>63</v>
      </c>
      <c r="B31" s="22" t="s">
        <v>37</v>
      </c>
      <c r="C31" s="18" t="s">
        <v>19</v>
      </c>
      <c r="D31" s="18">
        <v>2</v>
      </c>
      <c r="E31" s="18" t="s">
        <v>21</v>
      </c>
      <c r="F31" s="18" t="s">
        <v>24</v>
      </c>
      <c r="G31" s="18" t="s">
        <v>24</v>
      </c>
      <c r="H31" s="18">
        <v>6836</v>
      </c>
      <c r="I31" s="22" t="s">
        <v>42</v>
      </c>
      <c r="J31" s="18">
        <v>60</v>
      </c>
      <c r="K31" s="18" t="s">
        <v>15</v>
      </c>
      <c r="L31" s="18">
        <v>2</v>
      </c>
      <c r="M31" s="22" t="s">
        <v>45</v>
      </c>
    </row>
    <row r="32" spans="1:13" x14ac:dyDescent="0.35">
      <c r="A32" s="18">
        <v>36</v>
      </c>
      <c r="B32" s="22" t="s">
        <v>39</v>
      </c>
      <c r="C32" s="18" t="s">
        <v>19</v>
      </c>
      <c r="D32" s="18">
        <v>2</v>
      </c>
      <c r="E32" s="18" t="s">
        <v>21</v>
      </c>
      <c r="F32" s="18" t="s">
        <v>26</v>
      </c>
      <c r="G32" s="18" t="s">
        <v>27</v>
      </c>
      <c r="H32" s="18">
        <v>1913</v>
      </c>
      <c r="I32" s="22" t="s">
        <v>46</v>
      </c>
      <c r="J32" s="18">
        <v>18</v>
      </c>
      <c r="K32" s="18" t="s">
        <v>15</v>
      </c>
      <c r="L32" s="18">
        <v>1</v>
      </c>
      <c r="M32" s="22" t="s">
        <v>34</v>
      </c>
    </row>
    <row r="33" spans="1:13" x14ac:dyDescent="0.35">
      <c r="A33" s="18">
        <v>27</v>
      </c>
      <c r="B33" s="22" t="s">
        <v>38</v>
      </c>
      <c r="C33" s="18" t="s">
        <v>19</v>
      </c>
      <c r="D33" s="18">
        <v>2</v>
      </c>
      <c r="E33" s="18" t="s">
        <v>21</v>
      </c>
      <c r="F33" s="18" t="s">
        <v>24</v>
      </c>
      <c r="G33" s="18" t="s">
        <v>24</v>
      </c>
      <c r="H33" s="18">
        <v>4020</v>
      </c>
      <c r="I33" s="22" t="s">
        <v>43</v>
      </c>
      <c r="J33" s="18">
        <v>24</v>
      </c>
      <c r="K33" s="18" t="s">
        <v>13</v>
      </c>
      <c r="L33" s="18">
        <v>1</v>
      </c>
      <c r="M33" s="22" t="s">
        <v>34</v>
      </c>
    </row>
    <row r="34" spans="1:13" x14ac:dyDescent="0.35">
      <c r="A34" s="18">
        <v>30</v>
      </c>
      <c r="B34" s="22" t="s">
        <v>39</v>
      </c>
      <c r="C34" s="18" t="s">
        <v>19</v>
      </c>
      <c r="D34" s="18">
        <v>2</v>
      </c>
      <c r="E34" s="18" t="s">
        <v>21</v>
      </c>
      <c r="F34" s="18" t="s">
        <v>27</v>
      </c>
      <c r="G34" s="18" t="s">
        <v>27</v>
      </c>
      <c r="H34" s="18">
        <v>5866</v>
      </c>
      <c r="I34" s="22" t="s">
        <v>42</v>
      </c>
      <c r="J34" s="18">
        <v>18</v>
      </c>
      <c r="K34" s="18" t="s">
        <v>14</v>
      </c>
      <c r="L34" s="18">
        <v>1</v>
      </c>
      <c r="M34" s="22" t="s">
        <v>34</v>
      </c>
    </row>
    <row r="35" spans="1:13" x14ac:dyDescent="0.35">
      <c r="A35" s="18">
        <v>57</v>
      </c>
      <c r="B35" s="22" t="s">
        <v>37</v>
      </c>
      <c r="C35" s="18" t="s">
        <v>19</v>
      </c>
      <c r="D35" s="18">
        <v>1</v>
      </c>
      <c r="E35" s="18" t="s">
        <v>23</v>
      </c>
      <c r="F35" s="18" t="s">
        <v>10</v>
      </c>
      <c r="G35" s="18" t="s">
        <v>10</v>
      </c>
      <c r="H35" s="18">
        <v>1264</v>
      </c>
      <c r="I35" s="22" t="s">
        <v>46</v>
      </c>
      <c r="J35" s="18">
        <v>12</v>
      </c>
      <c r="K35" s="18" t="s">
        <v>15</v>
      </c>
      <c r="L35" s="18">
        <v>1</v>
      </c>
      <c r="M35" s="22" t="s">
        <v>34</v>
      </c>
    </row>
    <row r="36" spans="1:13" x14ac:dyDescent="0.35">
      <c r="A36" s="18">
        <v>33</v>
      </c>
      <c r="B36" s="22" t="s">
        <v>39</v>
      </c>
      <c r="C36" s="18" t="s">
        <v>20</v>
      </c>
      <c r="D36" s="18">
        <v>3</v>
      </c>
      <c r="E36" s="18" t="s">
        <v>21</v>
      </c>
      <c r="F36" s="18" t="s">
        <v>24</v>
      </c>
      <c r="G36" s="18" t="s">
        <v>26</v>
      </c>
      <c r="H36" s="18">
        <v>1474</v>
      </c>
      <c r="I36" s="22" t="s">
        <v>46</v>
      </c>
      <c r="J36" s="18">
        <v>12</v>
      </c>
      <c r="K36" s="18" t="s">
        <v>13</v>
      </c>
      <c r="L36" s="18">
        <v>1</v>
      </c>
      <c r="M36" s="22" t="s">
        <v>34</v>
      </c>
    </row>
    <row r="37" spans="1:13" x14ac:dyDescent="0.35">
      <c r="A37" s="18">
        <v>25</v>
      </c>
      <c r="B37" s="22" t="s">
        <v>38</v>
      </c>
      <c r="C37" s="18" t="s">
        <v>19</v>
      </c>
      <c r="D37" s="18">
        <v>1</v>
      </c>
      <c r="E37" s="18" t="s">
        <v>21</v>
      </c>
      <c r="F37" s="18" t="s">
        <v>24</v>
      </c>
      <c r="G37" s="18" t="s">
        <v>27</v>
      </c>
      <c r="H37" s="18">
        <v>4746</v>
      </c>
      <c r="I37" s="22" t="s">
        <v>43</v>
      </c>
      <c r="J37" s="18">
        <v>45</v>
      </c>
      <c r="K37" s="18" t="s">
        <v>11</v>
      </c>
      <c r="L37" s="18">
        <v>2</v>
      </c>
      <c r="M37" s="22" t="s">
        <v>45</v>
      </c>
    </row>
    <row r="38" spans="1:13" x14ac:dyDescent="0.35">
      <c r="A38" s="18">
        <v>31</v>
      </c>
      <c r="B38" s="22" t="s">
        <v>39</v>
      </c>
      <c r="C38" s="18" t="s">
        <v>19</v>
      </c>
      <c r="D38" s="18">
        <v>2</v>
      </c>
      <c r="E38" s="18" t="s">
        <v>22</v>
      </c>
      <c r="F38" s="18" t="s">
        <v>24</v>
      </c>
      <c r="G38" s="18" t="s">
        <v>10</v>
      </c>
      <c r="H38" s="18">
        <v>6110</v>
      </c>
      <c r="I38" s="22" t="s">
        <v>42</v>
      </c>
      <c r="J38" s="18">
        <v>48</v>
      </c>
      <c r="K38" s="18" t="s">
        <v>12</v>
      </c>
      <c r="L38" s="18">
        <v>1</v>
      </c>
      <c r="M38" s="22" t="s">
        <v>34</v>
      </c>
    </row>
    <row r="39" spans="1:13" x14ac:dyDescent="0.35">
      <c r="A39" s="18">
        <v>37</v>
      </c>
      <c r="B39" s="22" t="s">
        <v>39</v>
      </c>
      <c r="C39" s="18" t="s">
        <v>19</v>
      </c>
      <c r="D39" s="18">
        <v>2</v>
      </c>
      <c r="E39" s="18" t="s">
        <v>21</v>
      </c>
      <c r="F39" s="18" t="s">
        <v>24</v>
      </c>
      <c r="G39" s="18" t="s">
        <v>26</v>
      </c>
      <c r="H39" s="18">
        <v>2100</v>
      </c>
      <c r="I39" s="22" t="s">
        <v>43</v>
      </c>
      <c r="J39" s="18">
        <v>18</v>
      </c>
      <c r="K39" s="18" t="s">
        <v>11</v>
      </c>
      <c r="L39" s="18">
        <v>2</v>
      </c>
      <c r="M39" s="22" t="s">
        <v>45</v>
      </c>
    </row>
    <row r="40" spans="1:13" x14ac:dyDescent="0.35">
      <c r="A40" s="18">
        <v>37</v>
      </c>
      <c r="B40" s="22" t="s">
        <v>39</v>
      </c>
      <c r="C40" s="18" t="s">
        <v>19</v>
      </c>
      <c r="D40" s="18">
        <v>2</v>
      </c>
      <c r="E40" s="18" t="s">
        <v>21</v>
      </c>
      <c r="F40" s="18" t="s">
        <v>24</v>
      </c>
      <c r="G40" s="18" t="s">
        <v>26</v>
      </c>
      <c r="H40" s="18">
        <v>1225</v>
      </c>
      <c r="I40" s="22" t="s">
        <v>46</v>
      </c>
      <c r="J40" s="18">
        <v>10</v>
      </c>
      <c r="K40" s="18" t="s">
        <v>16</v>
      </c>
      <c r="L40" s="18">
        <v>1</v>
      </c>
      <c r="M40" s="22" t="s">
        <v>34</v>
      </c>
    </row>
    <row r="41" spans="1:13" x14ac:dyDescent="0.35">
      <c r="A41" s="18">
        <v>24</v>
      </c>
      <c r="B41" s="22" t="s">
        <v>38</v>
      </c>
      <c r="C41" s="18" t="s">
        <v>19</v>
      </c>
      <c r="D41" s="18">
        <v>2</v>
      </c>
      <c r="E41" s="18" t="s">
        <v>21</v>
      </c>
      <c r="F41" s="18" t="s">
        <v>24</v>
      </c>
      <c r="G41" s="18" t="s">
        <v>27</v>
      </c>
      <c r="H41" s="18">
        <v>458</v>
      </c>
      <c r="I41" s="22" t="s">
        <v>46</v>
      </c>
      <c r="J41" s="18">
        <v>9</v>
      </c>
      <c r="K41" s="18" t="s">
        <v>11</v>
      </c>
      <c r="L41" s="18">
        <v>1</v>
      </c>
      <c r="M41" s="22" t="s">
        <v>34</v>
      </c>
    </row>
    <row r="42" spans="1:13" x14ac:dyDescent="0.35">
      <c r="A42" s="18">
        <v>30</v>
      </c>
      <c r="B42" s="22" t="s">
        <v>39</v>
      </c>
      <c r="C42" s="18" t="s">
        <v>19</v>
      </c>
      <c r="D42" s="18">
        <v>3</v>
      </c>
      <c r="E42" s="18" t="s">
        <v>21</v>
      </c>
      <c r="F42" s="18" t="s">
        <v>25</v>
      </c>
      <c r="G42" s="18" t="s">
        <v>10</v>
      </c>
      <c r="H42" s="18">
        <v>2333</v>
      </c>
      <c r="I42" s="22" t="s">
        <v>43</v>
      </c>
      <c r="J42" s="18">
        <v>30</v>
      </c>
      <c r="K42" s="18" t="s">
        <v>11</v>
      </c>
      <c r="L42" s="18">
        <v>1</v>
      </c>
      <c r="M42" s="22" t="s">
        <v>34</v>
      </c>
    </row>
    <row r="43" spans="1:13" x14ac:dyDescent="0.35">
      <c r="A43" s="18">
        <v>26</v>
      </c>
      <c r="B43" s="22" t="s">
        <v>38</v>
      </c>
      <c r="C43" s="18" t="s">
        <v>19</v>
      </c>
      <c r="D43" s="18">
        <v>2</v>
      </c>
      <c r="E43" s="18" t="s">
        <v>21</v>
      </c>
      <c r="F43" s="18" t="s">
        <v>25</v>
      </c>
      <c r="G43" s="18" t="s">
        <v>27</v>
      </c>
      <c r="H43" s="18">
        <v>1158</v>
      </c>
      <c r="I43" s="22" t="s">
        <v>46</v>
      </c>
      <c r="J43" s="18">
        <v>12</v>
      </c>
      <c r="K43" s="18" t="s">
        <v>11</v>
      </c>
      <c r="L43" s="18">
        <v>1</v>
      </c>
      <c r="M43" s="22" t="s">
        <v>34</v>
      </c>
    </row>
    <row r="44" spans="1:13" x14ac:dyDescent="0.35">
      <c r="A44" s="18">
        <v>44</v>
      </c>
      <c r="B44" s="22" t="s">
        <v>39</v>
      </c>
      <c r="C44" s="18" t="s">
        <v>19</v>
      </c>
      <c r="D44" s="18">
        <v>1</v>
      </c>
      <c r="E44" s="18" t="s">
        <v>21</v>
      </c>
      <c r="F44" s="18" t="s">
        <v>24</v>
      </c>
      <c r="G44" s="18" t="s">
        <v>27</v>
      </c>
      <c r="H44" s="18">
        <v>6204</v>
      </c>
      <c r="I44" s="22" t="s">
        <v>42</v>
      </c>
      <c r="J44" s="18">
        <v>18</v>
      </c>
      <c r="K44" s="18" t="s">
        <v>17</v>
      </c>
      <c r="L44" s="18">
        <v>1</v>
      </c>
      <c r="M44" s="22" t="s">
        <v>34</v>
      </c>
    </row>
    <row r="45" spans="1:13" x14ac:dyDescent="0.35">
      <c r="A45" s="18">
        <v>24</v>
      </c>
      <c r="B45" s="22" t="s">
        <v>38</v>
      </c>
      <c r="C45" s="18" t="s">
        <v>19</v>
      </c>
      <c r="D45" s="18">
        <v>2</v>
      </c>
      <c r="E45" s="18" t="s">
        <v>23</v>
      </c>
      <c r="F45" s="18" t="s">
        <v>27</v>
      </c>
      <c r="G45" s="18" t="s">
        <v>24</v>
      </c>
      <c r="H45" s="18">
        <v>6187</v>
      </c>
      <c r="I45" s="22" t="s">
        <v>42</v>
      </c>
      <c r="J45" s="18">
        <v>30</v>
      </c>
      <c r="K45" s="18" t="s">
        <v>14</v>
      </c>
      <c r="L45" s="18">
        <v>1</v>
      </c>
      <c r="M45" s="22" t="s">
        <v>34</v>
      </c>
    </row>
    <row r="46" spans="1:13" x14ac:dyDescent="0.35">
      <c r="A46" s="18">
        <v>58</v>
      </c>
      <c r="B46" s="22" t="s">
        <v>37</v>
      </c>
      <c r="C46" s="18" t="s">
        <v>20</v>
      </c>
      <c r="D46" s="18">
        <v>1</v>
      </c>
      <c r="E46" s="18" t="s">
        <v>22</v>
      </c>
      <c r="F46" s="18" t="s">
        <v>24</v>
      </c>
      <c r="G46" s="18" t="s">
        <v>24</v>
      </c>
      <c r="H46" s="18">
        <v>6143</v>
      </c>
      <c r="I46" s="22" t="s">
        <v>42</v>
      </c>
      <c r="J46" s="18">
        <v>48</v>
      </c>
      <c r="K46" s="18" t="s">
        <v>14</v>
      </c>
      <c r="L46" s="18">
        <v>2</v>
      </c>
      <c r="M46" s="22" t="s">
        <v>45</v>
      </c>
    </row>
    <row r="47" spans="1:13" x14ac:dyDescent="0.35">
      <c r="A47" s="18">
        <v>35</v>
      </c>
      <c r="B47" s="22" t="s">
        <v>39</v>
      </c>
      <c r="C47" s="18" t="s">
        <v>20</v>
      </c>
      <c r="D47" s="18">
        <v>3</v>
      </c>
      <c r="E47" s="18" t="s">
        <v>21</v>
      </c>
      <c r="F47" s="18" t="s">
        <v>24</v>
      </c>
      <c r="G47" s="18" t="s">
        <v>10</v>
      </c>
      <c r="H47" s="18">
        <v>1393</v>
      </c>
      <c r="I47" s="22" t="s">
        <v>46</v>
      </c>
      <c r="J47" s="18">
        <v>11</v>
      </c>
      <c r="K47" s="18" t="s">
        <v>14</v>
      </c>
      <c r="L47" s="18">
        <v>1</v>
      </c>
      <c r="M47" s="22" t="s">
        <v>34</v>
      </c>
    </row>
    <row r="48" spans="1:13" x14ac:dyDescent="0.35">
      <c r="A48" s="18">
        <v>39</v>
      </c>
      <c r="B48" s="22" t="s">
        <v>39</v>
      </c>
      <c r="C48" s="18" t="s">
        <v>19</v>
      </c>
      <c r="D48" s="18">
        <v>2</v>
      </c>
      <c r="E48" s="18" t="s">
        <v>21</v>
      </c>
      <c r="F48" s="18" t="s">
        <v>25</v>
      </c>
      <c r="G48" s="18" t="s">
        <v>10</v>
      </c>
      <c r="H48" s="18">
        <v>2299</v>
      </c>
      <c r="I48" s="22" t="s">
        <v>43</v>
      </c>
      <c r="J48" s="18">
        <v>36</v>
      </c>
      <c r="K48" s="18" t="s">
        <v>11</v>
      </c>
      <c r="L48" s="18">
        <v>1</v>
      </c>
      <c r="M48" s="22" t="s">
        <v>34</v>
      </c>
    </row>
    <row r="49" spans="1:13" x14ac:dyDescent="0.35">
      <c r="A49" s="18">
        <v>23</v>
      </c>
      <c r="B49" s="22" t="s">
        <v>38</v>
      </c>
      <c r="C49" s="18" t="s">
        <v>20</v>
      </c>
      <c r="D49" s="18">
        <v>0</v>
      </c>
      <c r="E49" s="18" t="s">
        <v>23</v>
      </c>
      <c r="F49" s="18" t="s">
        <v>25</v>
      </c>
      <c r="G49" s="18" t="s">
        <v>24</v>
      </c>
      <c r="H49" s="18">
        <v>1352</v>
      </c>
      <c r="I49" s="22" t="s">
        <v>46</v>
      </c>
      <c r="J49" s="18">
        <v>6</v>
      </c>
      <c r="K49" s="18" t="s">
        <v>14</v>
      </c>
      <c r="L49" s="18">
        <v>1</v>
      </c>
      <c r="M49" s="22" t="s">
        <v>34</v>
      </c>
    </row>
    <row r="50" spans="1:13" x14ac:dyDescent="0.35">
      <c r="A50" s="18">
        <v>39</v>
      </c>
      <c r="B50" s="22" t="s">
        <v>39</v>
      </c>
      <c r="C50" s="18" t="s">
        <v>19</v>
      </c>
      <c r="D50" s="18">
        <v>1</v>
      </c>
      <c r="E50" s="18" t="s">
        <v>21</v>
      </c>
      <c r="F50" s="18" t="s">
        <v>24</v>
      </c>
      <c r="G50" s="18" t="s">
        <v>10</v>
      </c>
      <c r="H50" s="18">
        <v>7228</v>
      </c>
      <c r="I50" s="22" t="s">
        <v>42</v>
      </c>
      <c r="J50" s="18">
        <v>11</v>
      </c>
      <c r="K50" s="18" t="s">
        <v>14</v>
      </c>
      <c r="L50" s="18">
        <v>1</v>
      </c>
      <c r="M50" s="22" t="s">
        <v>34</v>
      </c>
    </row>
    <row r="51" spans="1:13" x14ac:dyDescent="0.35">
      <c r="A51" s="18">
        <v>28</v>
      </c>
      <c r="B51" s="22" t="s">
        <v>38</v>
      </c>
      <c r="C51" s="18" t="s">
        <v>20</v>
      </c>
      <c r="D51" s="18">
        <v>2</v>
      </c>
      <c r="E51" s="18" t="s">
        <v>21</v>
      </c>
      <c r="F51" s="18" t="s">
        <v>27</v>
      </c>
      <c r="G51" s="18" t="s">
        <v>10</v>
      </c>
      <c r="H51" s="18">
        <v>2073</v>
      </c>
      <c r="I51" s="22" t="s">
        <v>43</v>
      </c>
      <c r="J51" s="18">
        <v>12</v>
      </c>
      <c r="K51" s="18" t="s">
        <v>11</v>
      </c>
      <c r="L51" s="18">
        <v>1</v>
      </c>
      <c r="M51" s="22" t="s">
        <v>34</v>
      </c>
    </row>
    <row r="52" spans="1:13" x14ac:dyDescent="0.35">
      <c r="A52" s="18">
        <v>29</v>
      </c>
      <c r="B52" s="22" t="s">
        <v>38</v>
      </c>
      <c r="C52" s="18" t="s">
        <v>19</v>
      </c>
      <c r="D52" s="18">
        <v>1</v>
      </c>
      <c r="E52" s="18" t="s">
        <v>21</v>
      </c>
      <c r="F52" s="18" t="s">
        <v>10</v>
      </c>
      <c r="G52" s="18" t="s">
        <v>27</v>
      </c>
      <c r="H52" s="18">
        <v>2333</v>
      </c>
      <c r="I52" s="22" t="s">
        <v>43</v>
      </c>
      <c r="J52" s="18">
        <v>24</v>
      </c>
      <c r="K52" s="18" t="s">
        <v>13</v>
      </c>
      <c r="L52" s="18">
        <v>1</v>
      </c>
      <c r="M52" s="22" t="s">
        <v>34</v>
      </c>
    </row>
    <row r="53" spans="1:13" x14ac:dyDescent="0.35">
      <c r="A53" s="18">
        <v>30</v>
      </c>
      <c r="B53" s="22" t="s">
        <v>39</v>
      </c>
      <c r="C53" s="18" t="s">
        <v>19</v>
      </c>
      <c r="D53" s="18">
        <v>3</v>
      </c>
      <c r="E53" s="18" t="s">
        <v>21</v>
      </c>
      <c r="F53" s="18" t="s">
        <v>24</v>
      </c>
      <c r="G53" s="18" t="s">
        <v>27</v>
      </c>
      <c r="H53" s="18">
        <v>5965</v>
      </c>
      <c r="I53" s="22" t="s">
        <v>42</v>
      </c>
      <c r="J53" s="18">
        <v>27</v>
      </c>
      <c r="K53" s="18" t="s">
        <v>14</v>
      </c>
      <c r="L53" s="18">
        <v>1</v>
      </c>
      <c r="M53" s="22" t="s">
        <v>34</v>
      </c>
    </row>
    <row r="54" spans="1:13" x14ac:dyDescent="0.35">
      <c r="A54" s="18">
        <v>25</v>
      </c>
      <c r="B54" s="22" t="s">
        <v>38</v>
      </c>
      <c r="C54" s="18" t="s">
        <v>19</v>
      </c>
      <c r="D54" s="18">
        <v>2</v>
      </c>
      <c r="E54" s="18" t="s">
        <v>21</v>
      </c>
      <c r="F54" s="18" t="s">
        <v>24</v>
      </c>
      <c r="G54" s="18" t="s">
        <v>10</v>
      </c>
      <c r="H54" s="18">
        <v>1262</v>
      </c>
      <c r="I54" s="22" t="s">
        <v>46</v>
      </c>
      <c r="J54" s="18">
        <v>12</v>
      </c>
      <c r="K54" s="18" t="s">
        <v>11</v>
      </c>
      <c r="L54" s="18">
        <v>1</v>
      </c>
      <c r="M54" s="22" t="s">
        <v>34</v>
      </c>
    </row>
    <row r="55" spans="1:13" x14ac:dyDescent="0.35">
      <c r="A55" s="18">
        <v>31</v>
      </c>
      <c r="B55" s="22" t="s">
        <v>39</v>
      </c>
      <c r="C55" s="18" t="s">
        <v>19</v>
      </c>
      <c r="D55" s="18">
        <v>2</v>
      </c>
      <c r="E55" s="18" t="s">
        <v>21</v>
      </c>
      <c r="F55" s="18" t="s">
        <v>10</v>
      </c>
      <c r="G55" s="18" t="s">
        <v>10</v>
      </c>
      <c r="H55" s="18">
        <v>3378</v>
      </c>
      <c r="I55" s="22" t="s">
        <v>43</v>
      </c>
      <c r="J55" s="18">
        <v>18</v>
      </c>
      <c r="K55" s="18" t="s">
        <v>14</v>
      </c>
      <c r="L55" s="18">
        <v>1</v>
      </c>
      <c r="M55" s="22" t="s">
        <v>34</v>
      </c>
    </row>
    <row r="56" spans="1:13" x14ac:dyDescent="0.35">
      <c r="A56" s="18">
        <v>57</v>
      </c>
      <c r="B56" s="22" t="s">
        <v>37</v>
      </c>
      <c r="C56" s="18" t="s">
        <v>19</v>
      </c>
      <c r="D56" s="18">
        <v>2</v>
      </c>
      <c r="E56" s="18" t="s">
        <v>22</v>
      </c>
      <c r="F56" s="18" t="s">
        <v>24</v>
      </c>
      <c r="G56" s="18" t="s">
        <v>27</v>
      </c>
      <c r="H56" s="18">
        <v>2225</v>
      </c>
      <c r="I56" s="22" t="s">
        <v>43</v>
      </c>
      <c r="J56" s="18">
        <v>36</v>
      </c>
      <c r="K56" s="18" t="s">
        <v>14</v>
      </c>
      <c r="L56" s="18">
        <v>2</v>
      </c>
      <c r="M56" s="22" t="s">
        <v>45</v>
      </c>
    </row>
    <row r="57" spans="1:13" x14ac:dyDescent="0.35">
      <c r="A57" s="18">
        <v>26</v>
      </c>
      <c r="B57" s="22" t="s">
        <v>38</v>
      </c>
      <c r="C57" s="18" t="s">
        <v>19</v>
      </c>
      <c r="D57" s="18">
        <v>1</v>
      </c>
      <c r="E57" s="18" t="s">
        <v>21</v>
      </c>
      <c r="F57" s="18" t="s">
        <v>10</v>
      </c>
      <c r="G57" s="18" t="s">
        <v>10</v>
      </c>
      <c r="H57" s="18">
        <v>783</v>
      </c>
      <c r="I57" s="22" t="s">
        <v>46</v>
      </c>
      <c r="J57" s="18">
        <v>6</v>
      </c>
      <c r="K57" s="18" t="s">
        <v>14</v>
      </c>
      <c r="L57" s="18">
        <v>1</v>
      </c>
      <c r="M57" s="22" t="s">
        <v>34</v>
      </c>
    </row>
    <row r="58" spans="1:13" x14ac:dyDescent="0.35">
      <c r="A58" s="18">
        <v>52</v>
      </c>
      <c r="B58" s="22" t="s">
        <v>37</v>
      </c>
      <c r="C58" s="18" t="s">
        <v>19</v>
      </c>
      <c r="D58" s="18">
        <v>3</v>
      </c>
      <c r="E58" s="18" t="s">
        <v>21</v>
      </c>
      <c r="F58" s="18" t="s">
        <v>10</v>
      </c>
      <c r="G58" s="18" t="s">
        <v>27</v>
      </c>
      <c r="H58" s="18">
        <v>6468</v>
      </c>
      <c r="I58" s="22" t="s">
        <v>42</v>
      </c>
      <c r="J58" s="18">
        <v>12</v>
      </c>
      <c r="K58" s="18" t="s">
        <v>11</v>
      </c>
      <c r="L58" s="18">
        <v>2</v>
      </c>
      <c r="M58" s="22" t="s">
        <v>45</v>
      </c>
    </row>
    <row r="59" spans="1:13" x14ac:dyDescent="0.35">
      <c r="A59" s="18">
        <v>31</v>
      </c>
      <c r="B59" s="22" t="s">
        <v>39</v>
      </c>
      <c r="C59" s="18" t="s">
        <v>20</v>
      </c>
      <c r="D59" s="18">
        <v>2</v>
      </c>
      <c r="E59" s="18" t="s">
        <v>21</v>
      </c>
      <c r="F59" s="18" t="s">
        <v>24</v>
      </c>
      <c r="G59" s="18" t="s">
        <v>10</v>
      </c>
      <c r="H59" s="18">
        <v>9566</v>
      </c>
      <c r="I59" s="22" t="s">
        <v>42</v>
      </c>
      <c r="J59" s="18">
        <v>36</v>
      </c>
      <c r="K59" s="18" t="s">
        <v>11</v>
      </c>
      <c r="L59" s="18">
        <v>1</v>
      </c>
      <c r="M59" s="22" t="s">
        <v>34</v>
      </c>
    </row>
    <row r="60" spans="1:13" x14ac:dyDescent="0.35">
      <c r="A60" s="18">
        <v>23</v>
      </c>
      <c r="B60" s="22" t="s">
        <v>38</v>
      </c>
      <c r="C60" s="18" t="s">
        <v>20</v>
      </c>
      <c r="D60" s="18">
        <v>3</v>
      </c>
      <c r="E60" s="18" t="s">
        <v>21</v>
      </c>
      <c r="F60" s="18" t="s">
        <v>24</v>
      </c>
      <c r="G60" s="18" t="s">
        <v>26</v>
      </c>
      <c r="H60" s="18">
        <v>1961</v>
      </c>
      <c r="I60" s="22" t="s">
        <v>46</v>
      </c>
      <c r="J60" s="18">
        <v>18</v>
      </c>
      <c r="K60" s="18" t="s">
        <v>14</v>
      </c>
      <c r="L60" s="18">
        <v>1</v>
      </c>
      <c r="M60" s="22" t="s">
        <v>34</v>
      </c>
    </row>
    <row r="61" spans="1:13" x14ac:dyDescent="0.35">
      <c r="A61" s="18">
        <v>23</v>
      </c>
      <c r="B61" s="22" t="s">
        <v>38</v>
      </c>
      <c r="C61" s="18" t="s">
        <v>20</v>
      </c>
      <c r="D61" s="18">
        <v>1</v>
      </c>
      <c r="E61" s="18" t="s">
        <v>23</v>
      </c>
      <c r="F61" s="18" t="s">
        <v>24</v>
      </c>
      <c r="G61" s="18" t="s">
        <v>24</v>
      </c>
      <c r="H61" s="18">
        <v>6229</v>
      </c>
      <c r="I61" s="22" t="s">
        <v>42</v>
      </c>
      <c r="J61" s="18">
        <v>36</v>
      </c>
      <c r="K61" s="18" t="s">
        <v>13</v>
      </c>
      <c r="L61" s="18">
        <v>2</v>
      </c>
      <c r="M61" s="22" t="s">
        <v>45</v>
      </c>
    </row>
    <row r="62" spans="1:13" x14ac:dyDescent="0.35">
      <c r="A62" s="18">
        <v>27</v>
      </c>
      <c r="B62" s="22" t="s">
        <v>38</v>
      </c>
      <c r="C62" s="18" t="s">
        <v>19</v>
      </c>
      <c r="D62" s="18">
        <v>2</v>
      </c>
      <c r="E62" s="18" t="s">
        <v>21</v>
      </c>
      <c r="F62" s="18" t="s">
        <v>24</v>
      </c>
      <c r="G62" s="18" t="s">
        <v>27</v>
      </c>
      <c r="H62" s="18">
        <v>1391</v>
      </c>
      <c r="I62" s="22" t="s">
        <v>46</v>
      </c>
      <c r="J62" s="18">
        <v>9</v>
      </c>
      <c r="K62" s="18" t="s">
        <v>15</v>
      </c>
      <c r="L62" s="18">
        <v>1</v>
      </c>
      <c r="M62" s="22" t="s">
        <v>34</v>
      </c>
    </row>
    <row r="63" spans="1:13" x14ac:dyDescent="0.35">
      <c r="A63" s="18">
        <v>50</v>
      </c>
      <c r="B63" s="22" t="s">
        <v>37</v>
      </c>
      <c r="C63" s="18" t="s">
        <v>19</v>
      </c>
      <c r="D63" s="18">
        <v>2</v>
      </c>
      <c r="E63" s="18" t="s">
        <v>21</v>
      </c>
      <c r="F63" s="18" t="s">
        <v>10</v>
      </c>
      <c r="G63" s="18" t="s">
        <v>27</v>
      </c>
      <c r="H63" s="18">
        <v>1537</v>
      </c>
      <c r="I63" s="22" t="s">
        <v>46</v>
      </c>
      <c r="J63" s="18">
        <v>15</v>
      </c>
      <c r="K63" s="18" t="s">
        <v>11</v>
      </c>
      <c r="L63" s="18">
        <v>1</v>
      </c>
      <c r="M63" s="22" t="s">
        <v>34</v>
      </c>
    </row>
    <row r="64" spans="1:13" x14ac:dyDescent="0.35">
      <c r="A64" s="18">
        <v>61</v>
      </c>
      <c r="B64" s="22" t="s">
        <v>37</v>
      </c>
      <c r="C64" s="18" t="s">
        <v>19</v>
      </c>
      <c r="D64" s="18">
        <v>3</v>
      </c>
      <c r="E64" s="18" t="s">
        <v>22</v>
      </c>
      <c r="F64" s="18" t="s">
        <v>24</v>
      </c>
      <c r="G64" s="18" t="s">
        <v>27</v>
      </c>
      <c r="H64" s="18">
        <v>1953</v>
      </c>
      <c r="I64" s="22" t="s">
        <v>46</v>
      </c>
      <c r="J64" s="18">
        <v>36</v>
      </c>
      <c r="K64" s="18" t="s">
        <v>15</v>
      </c>
      <c r="L64" s="18">
        <v>2</v>
      </c>
      <c r="M64" s="22" t="s">
        <v>45</v>
      </c>
    </row>
    <row r="65" spans="1:13" x14ac:dyDescent="0.35">
      <c r="A65" s="18">
        <v>25</v>
      </c>
      <c r="B65" s="22" t="s">
        <v>38</v>
      </c>
      <c r="C65" s="18" t="s">
        <v>19</v>
      </c>
      <c r="D65" s="18">
        <v>2</v>
      </c>
      <c r="E65" s="18" t="s">
        <v>21</v>
      </c>
      <c r="F65" s="18" t="s">
        <v>24</v>
      </c>
      <c r="G65" s="18" t="s">
        <v>27</v>
      </c>
      <c r="H65" s="18">
        <v>14421</v>
      </c>
      <c r="I65" s="22" t="s">
        <v>42</v>
      </c>
      <c r="J65" s="18">
        <v>48</v>
      </c>
      <c r="K65" s="18" t="s">
        <v>15</v>
      </c>
      <c r="L65" s="18">
        <v>2</v>
      </c>
      <c r="M65" s="22" t="s">
        <v>45</v>
      </c>
    </row>
    <row r="66" spans="1:13" x14ac:dyDescent="0.35">
      <c r="A66" s="18">
        <v>26</v>
      </c>
      <c r="B66" s="22" t="s">
        <v>38</v>
      </c>
      <c r="C66" s="18" t="s">
        <v>20</v>
      </c>
      <c r="D66" s="18">
        <v>2</v>
      </c>
      <c r="E66" s="18" t="s">
        <v>21</v>
      </c>
      <c r="F66" s="18" t="s">
        <v>24</v>
      </c>
      <c r="G66" s="18" t="s">
        <v>10</v>
      </c>
      <c r="H66" s="18">
        <v>3181</v>
      </c>
      <c r="I66" s="22" t="s">
        <v>43</v>
      </c>
      <c r="J66" s="18">
        <v>24</v>
      </c>
      <c r="K66" s="18" t="s">
        <v>11</v>
      </c>
      <c r="L66" s="18">
        <v>1</v>
      </c>
      <c r="M66" s="22" t="s">
        <v>34</v>
      </c>
    </row>
    <row r="67" spans="1:13" x14ac:dyDescent="0.35">
      <c r="A67" s="18">
        <v>48</v>
      </c>
      <c r="B67" s="22" t="s">
        <v>39</v>
      </c>
      <c r="C67" s="18" t="s">
        <v>19</v>
      </c>
      <c r="D67" s="18">
        <v>2</v>
      </c>
      <c r="E67" s="18" t="s">
        <v>21</v>
      </c>
      <c r="F67" s="18" t="s">
        <v>10</v>
      </c>
      <c r="G67" s="18" t="s">
        <v>10</v>
      </c>
      <c r="H67" s="18">
        <v>5190</v>
      </c>
      <c r="I67" s="22" t="s">
        <v>42</v>
      </c>
      <c r="J67" s="18">
        <v>27</v>
      </c>
      <c r="K67" s="18" t="s">
        <v>17</v>
      </c>
      <c r="L67" s="18">
        <v>1</v>
      </c>
      <c r="M67" s="22" t="s">
        <v>34</v>
      </c>
    </row>
    <row r="68" spans="1:13" x14ac:dyDescent="0.35">
      <c r="A68" s="18">
        <v>29</v>
      </c>
      <c r="B68" s="22" t="s">
        <v>38</v>
      </c>
      <c r="C68" s="18" t="s">
        <v>20</v>
      </c>
      <c r="D68" s="18">
        <v>2</v>
      </c>
      <c r="E68" s="18" t="s">
        <v>21</v>
      </c>
      <c r="F68" s="18" t="s">
        <v>24</v>
      </c>
      <c r="G68" s="18" t="s">
        <v>10</v>
      </c>
      <c r="H68" s="18">
        <v>2171</v>
      </c>
      <c r="I68" s="22" t="s">
        <v>43</v>
      </c>
      <c r="J68" s="18">
        <v>12</v>
      </c>
      <c r="K68" s="18" t="s">
        <v>11</v>
      </c>
      <c r="L68" s="18">
        <v>1</v>
      </c>
      <c r="M68" s="22" t="s">
        <v>34</v>
      </c>
    </row>
    <row r="69" spans="1:13" x14ac:dyDescent="0.35">
      <c r="A69" s="18">
        <v>22</v>
      </c>
      <c r="B69" s="22" t="s">
        <v>38</v>
      </c>
      <c r="C69" s="18" t="s">
        <v>19</v>
      </c>
      <c r="D69" s="18">
        <v>2</v>
      </c>
      <c r="E69" s="18" t="s">
        <v>21</v>
      </c>
      <c r="F69" s="18" t="s">
        <v>26</v>
      </c>
      <c r="G69" s="18" t="s">
        <v>27</v>
      </c>
      <c r="H69" s="18">
        <v>1007</v>
      </c>
      <c r="I69" s="22" t="s">
        <v>46</v>
      </c>
      <c r="J69" s="18">
        <v>12</v>
      </c>
      <c r="K69" s="18" t="s">
        <v>14</v>
      </c>
      <c r="L69" s="18">
        <v>1</v>
      </c>
      <c r="M69" s="22" t="s">
        <v>34</v>
      </c>
    </row>
    <row r="70" spans="1:13" x14ac:dyDescent="0.35">
      <c r="A70" s="18">
        <v>37</v>
      </c>
      <c r="B70" s="22" t="s">
        <v>39</v>
      </c>
      <c r="C70" s="18" t="s">
        <v>19</v>
      </c>
      <c r="D70" s="18">
        <v>2</v>
      </c>
      <c r="E70" s="18" t="s">
        <v>22</v>
      </c>
      <c r="F70" s="18" t="s">
        <v>24</v>
      </c>
      <c r="G70" s="18" t="s">
        <v>10</v>
      </c>
      <c r="H70" s="18">
        <v>1819</v>
      </c>
      <c r="I70" s="22" t="s">
        <v>46</v>
      </c>
      <c r="J70" s="18">
        <v>36</v>
      </c>
      <c r="K70" s="18" t="s">
        <v>12</v>
      </c>
      <c r="L70" s="18">
        <v>2</v>
      </c>
      <c r="M70" s="22" t="s">
        <v>45</v>
      </c>
    </row>
    <row r="71" spans="1:13" x14ac:dyDescent="0.35">
      <c r="A71" s="18">
        <v>25</v>
      </c>
      <c r="B71" s="22" t="s">
        <v>38</v>
      </c>
      <c r="C71" s="18" t="s">
        <v>20</v>
      </c>
      <c r="D71" s="18">
        <v>2</v>
      </c>
      <c r="E71" s="18" t="s">
        <v>21</v>
      </c>
      <c r="F71" s="18" t="s">
        <v>10</v>
      </c>
      <c r="G71" s="18" t="s">
        <v>10</v>
      </c>
      <c r="H71" s="18">
        <v>2394</v>
      </c>
      <c r="I71" s="22" t="s">
        <v>43</v>
      </c>
      <c r="J71" s="18">
        <v>36</v>
      </c>
      <c r="K71" s="18" t="s">
        <v>11</v>
      </c>
      <c r="L71" s="18">
        <v>1</v>
      </c>
      <c r="M71" s="22" t="s">
        <v>34</v>
      </c>
    </row>
    <row r="72" spans="1:13" x14ac:dyDescent="0.35">
      <c r="A72" s="18">
        <v>30</v>
      </c>
      <c r="B72" s="22" t="s">
        <v>39</v>
      </c>
      <c r="C72" s="18" t="s">
        <v>20</v>
      </c>
      <c r="D72" s="18">
        <v>2</v>
      </c>
      <c r="E72" s="18" t="s">
        <v>21</v>
      </c>
      <c r="F72" s="18" t="s">
        <v>24</v>
      </c>
      <c r="G72" s="18" t="s">
        <v>10</v>
      </c>
      <c r="H72" s="18">
        <v>8133</v>
      </c>
      <c r="I72" s="22" t="s">
        <v>42</v>
      </c>
      <c r="J72" s="18">
        <v>36</v>
      </c>
      <c r="K72" s="18" t="s">
        <v>14</v>
      </c>
      <c r="L72" s="18">
        <v>1</v>
      </c>
      <c r="M72" s="22" t="s">
        <v>34</v>
      </c>
    </row>
    <row r="73" spans="1:13" x14ac:dyDescent="0.35">
      <c r="A73" s="18">
        <v>46</v>
      </c>
      <c r="B73" s="22" t="s">
        <v>39</v>
      </c>
      <c r="C73" s="18" t="s">
        <v>19</v>
      </c>
      <c r="D73" s="18">
        <v>1</v>
      </c>
      <c r="E73" s="18" t="s">
        <v>23</v>
      </c>
      <c r="F73" s="18" t="s">
        <v>10</v>
      </c>
      <c r="G73" s="18" t="s">
        <v>10</v>
      </c>
      <c r="H73" s="18">
        <v>730</v>
      </c>
      <c r="I73" s="22" t="s">
        <v>46</v>
      </c>
      <c r="J73" s="18">
        <v>7</v>
      </c>
      <c r="K73" s="18" t="s">
        <v>11</v>
      </c>
      <c r="L73" s="18">
        <v>1</v>
      </c>
      <c r="M73" s="22" t="s">
        <v>34</v>
      </c>
    </row>
    <row r="74" spans="1:13" x14ac:dyDescent="0.35">
      <c r="A74" s="18">
        <v>51</v>
      </c>
      <c r="B74" s="22" t="s">
        <v>37</v>
      </c>
      <c r="C74" s="18" t="s">
        <v>19</v>
      </c>
      <c r="D74" s="18">
        <v>3</v>
      </c>
      <c r="E74" s="18" t="s">
        <v>22</v>
      </c>
      <c r="F74" s="18" t="s">
        <v>24</v>
      </c>
      <c r="G74" s="18" t="s">
        <v>24</v>
      </c>
      <c r="H74" s="18">
        <v>1164</v>
      </c>
      <c r="I74" s="22" t="s">
        <v>46</v>
      </c>
      <c r="J74" s="18">
        <v>8</v>
      </c>
      <c r="K74" s="18" t="s">
        <v>18</v>
      </c>
      <c r="L74" s="18">
        <v>1</v>
      </c>
      <c r="M74" s="22" t="s">
        <v>34</v>
      </c>
    </row>
    <row r="75" spans="1:13" x14ac:dyDescent="0.35">
      <c r="A75" s="18">
        <v>41</v>
      </c>
      <c r="B75" s="22" t="s">
        <v>39</v>
      </c>
      <c r="C75" s="18" t="s">
        <v>20</v>
      </c>
      <c r="D75" s="18">
        <v>1</v>
      </c>
      <c r="E75" s="18" t="s">
        <v>21</v>
      </c>
      <c r="F75" s="18" t="s">
        <v>24</v>
      </c>
      <c r="G75" s="18" t="s">
        <v>27</v>
      </c>
      <c r="H75" s="18">
        <v>5954</v>
      </c>
      <c r="I75" s="22" t="s">
        <v>42</v>
      </c>
      <c r="J75" s="18">
        <v>42</v>
      </c>
      <c r="K75" s="18" t="s">
        <v>15</v>
      </c>
      <c r="L75" s="18">
        <v>1</v>
      </c>
      <c r="M75" s="22" t="s">
        <v>34</v>
      </c>
    </row>
    <row r="76" spans="1:13" x14ac:dyDescent="0.35">
      <c r="A76" s="18">
        <v>40</v>
      </c>
      <c r="B76" s="22" t="s">
        <v>39</v>
      </c>
      <c r="C76" s="18" t="s">
        <v>19</v>
      </c>
      <c r="D76" s="18">
        <v>3</v>
      </c>
      <c r="E76" s="18" t="s">
        <v>21</v>
      </c>
      <c r="F76" s="18" t="s">
        <v>10</v>
      </c>
      <c r="G76" s="18" t="s">
        <v>24</v>
      </c>
      <c r="H76" s="18">
        <v>1977</v>
      </c>
      <c r="I76" s="22" t="s">
        <v>46</v>
      </c>
      <c r="J76" s="18">
        <v>36</v>
      </c>
      <c r="K76" s="18" t="s">
        <v>12</v>
      </c>
      <c r="L76" s="18">
        <v>2</v>
      </c>
      <c r="M76" s="22" t="s">
        <v>45</v>
      </c>
    </row>
    <row r="77" spans="1:13" x14ac:dyDescent="0.35">
      <c r="A77" s="18">
        <v>66</v>
      </c>
      <c r="B77" s="22" t="s">
        <v>37</v>
      </c>
      <c r="C77" s="18" t="s">
        <v>19</v>
      </c>
      <c r="D77" s="18">
        <v>3</v>
      </c>
      <c r="E77" s="18" t="s">
        <v>22</v>
      </c>
      <c r="F77" s="18" t="s">
        <v>24</v>
      </c>
      <c r="G77" s="18" t="s">
        <v>24</v>
      </c>
      <c r="H77" s="18">
        <v>1526</v>
      </c>
      <c r="I77" s="22" t="s">
        <v>46</v>
      </c>
      <c r="J77" s="18">
        <v>12</v>
      </c>
      <c r="K77" s="18" t="s">
        <v>14</v>
      </c>
      <c r="L77" s="18">
        <v>1</v>
      </c>
      <c r="M77" s="22" t="s">
        <v>34</v>
      </c>
    </row>
    <row r="78" spans="1:13" x14ac:dyDescent="0.35">
      <c r="A78" s="18">
        <v>34</v>
      </c>
      <c r="B78" s="22" t="s">
        <v>39</v>
      </c>
      <c r="C78" s="18" t="s">
        <v>19</v>
      </c>
      <c r="D78" s="18">
        <v>2</v>
      </c>
      <c r="E78" s="18" t="s">
        <v>21</v>
      </c>
      <c r="F78" s="18" t="s">
        <v>24</v>
      </c>
      <c r="G78" s="18" t="s">
        <v>24</v>
      </c>
      <c r="H78" s="18">
        <v>3965</v>
      </c>
      <c r="I78" s="22" t="s">
        <v>43</v>
      </c>
      <c r="J78" s="18">
        <v>42</v>
      </c>
      <c r="K78" s="18" t="s">
        <v>11</v>
      </c>
      <c r="L78" s="18">
        <v>2</v>
      </c>
      <c r="M78" s="22" t="s">
        <v>45</v>
      </c>
    </row>
    <row r="79" spans="1:13" x14ac:dyDescent="0.35">
      <c r="A79" s="18">
        <v>51</v>
      </c>
      <c r="B79" s="22" t="s">
        <v>37</v>
      </c>
      <c r="C79" s="18" t="s">
        <v>19</v>
      </c>
      <c r="D79" s="18">
        <v>2</v>
      </c>
      <c r="E79" s="18" t="s">
        <v>21</v>
      </c>
      <c r="F79" s="18" t="s">
        <v>24</v>
      </c>
      <c r="G79" s="18" t="s">
        <v>27</v>
      </c>
      <c r="H79" s="18">
        <v>4771</v>
      </c>
      <c r="I79" s="22" t="s">
        <v>43</v>
      </c>
      <c r="J79" s="18">
        <v>11</v>
      </c>
      <c r="K79" s="18" t="s">
        <v>11</v>
      </c>
      <c r="L79" s="18">
        <v>1</v>
      </c>
      <c r="M79" s="22" t="s">
        <v>34</v>
      </c>
    </row>
    <row r="80" spans="1:13" x14ac:dyDescent="0.35">
      <c r="A80" s="18">
        <v>39</v>
      </c>
      <c r="B80" s="22" t="s">
        <v>39</v>
      </c>
      <c r="C80" s="18" t="s">
        <v>19</v>
      </c>
      <c r="D80" s="18">
        <v>1</v>
      </c>
      <c r="E80" s="18" t="s">
        <v>21</v>
      </c>
      <c r="F80" s="18" t="s">
        <v>10</v>
      </c>
      <c r="G80" s="18" t="s">
        <v>10</v>
      </c>
      <c r="H80" s="18">
        <v>9436</v>
      </c>
      <c r="I80" s="22" t="s">
        <v>42</v>
      </c>
      <c r="J80" s="18">
        <v>54</v>
      </c>
      <c r="K80" s="18" t="s">
        <v>14</v>
      </c>
      <c r="L80" s="18">
        <v>1</v>
      </c>
      <c r="M80" s="22" t="s">
        <v>34</v>
      </c>
    </row>
    <row r="81" spans="1:13" x14ac:dyDescent="0.35">
      <c r="A81" s="18">
        <v>22</v>
      </c>
      <c r="B81" s="22" t="s">
        <v>38</v>
      </c>
      <c r="C81" s="18" t="s">
        <v>19</v>
      </c>
      <c r="D81" s="18">
        <v>2</v>
      </c>
      <c r="E81" s="18" t="s">
        <v>21</v>
      </c>
      <c r="F81" s="18" t="s">
        <v>24</v>
      </c>
      <c r="G81" s="18" t="s">
        <v>27</v>
      </c>
      <c r="H81" s="18">
        <v>3832</v>
      </c>
      <c r="I81" s="22" t="s">
        <v>43</v>
      </c>
      <c r="J81" s="18">
        <v>30</v>
      </c>
      <c r="K81" s="18" t="s">
        <v>13</v>
      </c>
      <c r="L81" s="18">
        <v>1</v>
      </c>
      <c r="M81" s="22" t="s">
        <v>34</v>
      </c>
    </row>
    <row r="82" spans="1:13" x14ac:dyDescent="0.35">
      <c r="A82" s="18">
        <v>44</v>
      </c>
      <c r="B82" s="22" t="s">
        <v>39</v>
      </c>
      <c r="C82" s="18" t="s">
        <v>20</v>
      </c>
      <c r="D82" s="18">
        <v>2</v>
      </c>
      <c r="E82" s="18" t="s">
        <v>21</v>
      </c>
      <c r="F82" s="18" t="s">
        <v>10</v>
      </c>
      <c r="G82" s="18" t="s">
        <v>10</v>
      </c>
      <c r="H82" s="18">
        <v>5943</v>
      </c>
      <c r="I82" s="22" t="s">
        <v>42</v>
      </c>
      <c r="J82" s="18">
        <v>24</v>
      </c>
      <c r="K82" s="18" t="s">
        <v>11</v>
      </c>
      <c r="L82" s="18">
        <v>2</v>
      </c>
      <c r="M82" s="22" t="s">
        <v>45</v>
      </c>
    </row>
    <row r="83" spans="1:13" x14ac:dyDescent="0.35">
      <c r="A83" s="18">
        <v>47</v>
      </c>
      <c r="B83" s="22" t="s">
        <v>39</v>
      </c>
      <c r="C83" s="18" t="s">
        <v>19</v>
      </c>
      <c r="D83" s="18">
        <v>2</v>
      </c>
      <c r="E83" s="18" t="s">
        <v>21</v>
      </c>
      <c r="F83" s="18" t="s">
        <v>25</v>
      </c>
      <c r="G83" s="18" t="s">
        <v>10</v>
      </c>
      <c r="H83" s="18">
        <v>1213</v>
      </c>
      <c r="I83" s="22" t="s">
        <v>46</v>
      </c>
      <c r="J83" s="18">
        <v>15</v>
      </c>
      <c r="K83" s="18" t="s">
        <v>11</v>
      </c>
      <c r="L83" s="18">
        <v>1</v>
      </c>
      <c r="M83" s="22" t="s">
        <v>34</v>
      </c>
    </row>
    <row r="84" spans="1:13" x14ac:dyDescent="0.35">
      <c r="A84" s="18">
        <v>24</v>
      </c>
      <c r="B84" s="22" t="s">
        <v>38</v>
      </c>
      <c r="C84" s="18" t="s">
        <v>20</v>
      </c>
      <c r="D84" s="18">
        <v>1</v>
      </c>
      <c r="E84" s="18" t="s">
        <v>23</v>
      </c>
      <c r="F84" s="18" t="s">
        <v>27</v>
      </c>
      <c r="G84" s="18" t="s">
        <v>10</v>
      </c>
      <c r="H84" s="18">
        <v>1568</v>
      </c>
      <c r="I84" s="22" t="s">
        <v>46</v>
      </c>
      <c r="J84" s="18">
        <v>18</v>
      </c>
      <c r="K84" s="18" t="s">
        <v>15</v>
      </c>
      <c r="L84" s="18">
        <v>1</v>
      </c>
      <c r="M84" s="22" t="s">
        <v>34</v>
      </c>
    </row>
    <row r="85" spans="1:13" x14ac:dyDescent="0.35">
      <c r="A85" s="18">
        <v>58</v>
      </c>
      <c r="B85" s="22" t="s">
        <v>37</v>
      </c>
      <c r="C85" s="18" t="s">
        <v>20</v>
      </c>
      <c r="D85" s="18">
        <v>1</v>
      </c>
      <c r="E85" s="18" t="s">
        <v>21</v>
      </c>
      <c r="F85" s="18" t="s">
        <v>24</v>
      </c>
      <c r="G85" s="18" t="s">
        <v>24</v>
      </c>
      <c r="H85" s="18">
        <v>1755</v>
      </c>
      <c r="I85" s="22" t="s">
        <v>46</v>
      </c>
      <c r="J85" s="18">
        <v>24</v>
      </c>
      <c r="K85" s="18" t="s">
        <v>18</v>
      </c>
      <c r="L85" s="18">
        <v>1</v>
      </c>
      <c r="M85" s="22" t="s">
        <v>34</v>
      </c>
    </row>
    <row r="86" spans="1:13" x14ac:dyDescent="0.35">
      <c r="A86" s="18">
        <v>52</v>
      </c>
      <c r="B86" s="22" t="s">
        <v>37</v>
      </c>
      <c r="C86" s="18" t="s">
        <v>19</v>
      </c>
      <c r="D86" s="18">
        <v>1</v>
      </c>
      <c r="E86" s="18" t="s">
        <v>21</v>
      </c>
      <c r="F86" s="18" t="s">
        <v>24</v>
      </c>
      <c r="G86" s="18" t="s">
        <v>24</v>
      </c>
      <c r="H86" s="18">
        <v>2315</v>
      </c>
      <c r="I86" s="22" t="s">
        <v>43</v>
      </c>
      <c r="J86" s="18">
        <v>10</v>
      </c>
      <c r="K86" s="18" t="s">
        <v>11</v>
      </c>
      <c r="L86" s="18">
        <v>1</v>
      </c>
      <c r="M86" s="22" t="s">
        <v>34</v>
      </c>
    </row>
    <row r="87" spans="1:13" x14ac:dyDescent="0.35">
      <c r="A87" s="18">
        <v>29</v>
      </c>
      <c r="B87" s="22" t="s">
        <v>38</v>
      </c>
      <c r="C87" s="18" t="s">
        <v>20</v>
      </c>
      <c r="D87" s="18">
        <v>3</v>
      </c>
      <c r="E87" s="18" t="s">
        <v>21</v>
      </c>
      <c r="F87" s="18" t="s">
        <v>24</v>
      </c>
      <c r="G87" s="18" t="s">
        <v>10</v>
      </c>
      <c r="H87" s="18">
        <v>1412</v>
      </c>
      <c r="I87" s="22" t="s">
        <v>46</v>
      </c>
      <c r="J87" s="18">
        <v>12</v>
      </c>
      <c r="K87" s="18" t="s">
        <v>15</v>
      </c>
      <c r="L87" s="18">
        <v>1</v>
      </c>
      <c r="M87" s="22" t="s">
        <v>34</v>
      </c>
    </row>
    <row r="88" spans="1:13" x14ac:dyDescent="0.35">
      <c r="A88" s="18">
        <v>27</v>
      </c>
      <c r="B88" s="22" t="s">
        <v>38</v>
      </c>
      <c r="C88" s="18" t="s">
        <v>20</v>
      </c>
      <c r="D88" s="18">
        <v>2</v>
      </c>
      <c r="E88" s="18" t="s">
        <v>21</v>
      </c>
      <c r="F88" s="18" t="s">
        <v>24</v>
      </c>
      <c r="G88" s="18" t="s">
        <v>27</v>
      </c>
      <c r="H88" s="18">
        <v>1295</v>
      </c>
      <c r="I88" s="22" t="s">
        <v>46</v>
      </c>
      <c r="J88" s="18">
        <v>18</v>
      </c>
      <c r="K88" s="18" t="s">
        <v>13</v>
      </c>
      <c r="L88" s="18">
        <v>1</v>
      </c>
      <c r="M88" s="22" t="s">
        <v>34</v>
      </c>
    </row>
    <row r="89" spans="1:13" x14ac:dyDescent="0.35">
      <c r="A89" s="18">
        <v>47</v>
      </c>
      <c r="B89" s="22" t="s">
        <v>39</v>
      </c>
      <c r="C89" s="18" t="s">
        <v>19</v>
      </c>
      <c r="D89" s="18">
        <v>2</v>
      </c>
      <c r="E89" s="18" t="s">
        <v>22</v>
      </c>
      <c r="F89" s="18" t="s">
        <v>27</v>
      </c>
      <c r="G89" s="18" t="s">
        <v>27</v>
      </c>
      <c r="H89" s="18">
        <v>12612</v>
      </c>
      <c r="I89" s="22" t="s">
        <v>42</v>
      </c>
      <c r="J89" s="18">
        <v>36</v>
      </c>
      <c r="K89" s="18" t="s">
        <v>12</v>
      </c>
      <c r="L89" s="18">
        <v>2</v>
      </c>
      <c r="M89" s="22" t="s">
        <v>45</v>
      </c>
    </row>
    <row r="90" spans="1:13" x14ac:dyDescent="0.35">
      <c r="A90" s="18">
        <v>30</v>
      </c>
      <c r="B90" s="22" t="s">
        <v>39</v>
      </c>
      <c r="C90" s="18" t="s">
        <v>19</v>
      </c>
      <c r="D90" s="18">
        <v>3</v>
      </c>
      <c r="E90" s="18" t="s">
        <v>21</v>
      </c>
      <c r="F90" s="18" t="s">
        <v>27</v>
      </c>
      <c r="G90" s="18" t="s">
        <v>24</v>
      </c>
      <c r="H90" s="18">
        <v>2249</v>
      </c>
      <c r="I90" s="22" t="s">
        <v>43</v>
      </c>
      <c r="J90" s="18">
        <v>18</v>
      </c>
      <c r="K90" s="18" t="s">
        <v>14</v>
      </c>
      <c r="L90" s="18">
        <v>1</v>
      </c>
      <c r="M90" s="22" t="s">
        <v>34</v>
      </c>
    </row>
    <row r="91" spans="1:13" x14ac:dyDescent="0.35">
      <c r="A91" s="18">
        <v>28</v>
      </c>
      <c r="B91" s="22" t="s">
        <v>38</v>
      </c>
      <c r="C91" s="18" t="s">
        <v>19</v>
      </c>
      <c r="D91" s="18">
        <v>2</v>
      </c>
      <c r="E91" s="18" t="s">
        <v>21</v>
      </c>
      <c r="F91" s="18" t="s">
        <v>24</v>
      </c>
      <c r="G91" s="18" t="s">
        <v>24</v>
      </c>
      <c r="H91" s="18">
        <v>1108</v>
      </c>
      <c r="I91" s="22" t="s">
        <v>46</v>
      </c>
      <c r="J91" s="18">
        <v>12</v>
      </c>
      <c r="K91" s="18" t="s">
        <v>17</v>
      </c>
      <c r="L91" s="18">
        <v>2</v>
      </c>
      <c r="M91" s="22" t="s">
        <v>45</v>
      </c>
    </row>
    <row r="92" spans="1:13" x14ac:dyDescent="0.35">
      <c r="A92" s="18">
        <v>56</v>
      </c>
      <c r="B92" s="22" t="s">
        <v>37</v>
      </c>
      <c r="C92" s="18" t="s">
        <v>19</v>
      </c>
      <c r="D92" s="18">
        <v>2</v>
      </c>
      <c r="E92" s="18" t="s">
        <v>21</v>
      </c>
      <c r="F92" s="18" t="s">
        <v>24</v>
      </c>
      <c r="G92" s="18" t="s">
        <v>10</v>
      </c>
      <c r="H92" s="18">
        <v>618</v>
      </c>
      <c r="I92" s="22" t="s">
        <v>46</v>
      </c>
      <c r="J92" s="18">
        <v>12</v>
      </c>
      <c r="K92" s="18" t="s">
        <v>11</v>
      </c>
      <c r="L92" s="18">
        <v>1</v>
      </c>
      <c r="M92" s="22" t="s">
        <v>34</v>
      </c>
    </row>
    <row r="93" spans="1:13" x14ac:dyDescent="0.35">
      <c r="A93" s="18">
        <v>54</v>
      </c>
      <c r="B93" s="22" t="s">
        <v>37</v>
      </c>
      <c r="C93" s="18" t="s">
        <v>19</v>
      </c>
      <c r="D93" s="18">
        <v>2</v>
      </c>
      <c r="E93" s="18" t="s">
        <v>21</v>
      </c>
      <c r="F93" s="18" t="s">
        <v>24</v>
      </c>
      <c r="G93" s="18" t="s">
        <v>24</v>
      </c>
      <c r="H93" s="18">
        <v>1409</v>
      </c>
      <c r="I93" s="22" t="s">
        <v>46</v>
      </c>
      <c r="J93" s="18">
        <v>12</v>
      </c>
      <c r="K93" s="18" t="s">
        <v>14</v>
      </c>
      <c r="L93" s="18">
        <v>1</v>
      </c>
      <c r="M93" s="22" t="s">
        <v>34</v>
      </c>
    </row>
    <row r="94" spans="1:13" x14ac:dyDescent="0.35">
      <c r="A94" s="18">
        <v>33</v>
      </c>
      <c r="B94" s="22" t="s">
        <v>39</v>
      </c>
      <c r="C94" s="18" t="s">
        <v>20</v>
      </c>
      <c r="D94" s="18">
        <v>1</v>
      </c>
      <c r="E94" s="18" t="s">
        <v>21</v>
      </c>
      <c r="F94" s="18" t="s">
        <v>10</v>
      </c>
      <c r="G94" s="18" t="s">
        <v>10</v>
      </c>
      <c r="H94" s="18">
        <v>797</v>
      </c>
      <c r="I94" s="22" t="s">
        <v>46</v>
      </c>
      <c r="J94" s="18">
        <v>12</v>
      </c>
      <c r="K94" s="18" t="s">
        <v>11</v>
      </c>
      <c r="L94" s="18">
        <v>2</v>
      </c>
      <c r="M94" s="22" t="s">
        <v>45</v>
      </c>
    </row>
    <row r="95" spans="1:13" x14ac:dyDescent="0.35">
      <c r="A95" s="18">
        <v>20</v>
      </c>
      <c r="B95" s="22" t="s">
        <v>38</v>
      </c>
      <c r="C95" s="18" t="s">
        <v>19</v>
      </c>
      <c r="D95" s="18">
        <v>2</v>
      </c>
      <c r="E95" s="18" t="s">
        <v>23</v>
      </c>
      <c r="F95" s="18" t="s">
        <v>10</v>
      </c>
      <c r="G95" s="18" t="s">
        <v>26</v>
      </c>
      <c r="H95" s="18">
        <v>3617</v>
      </c>
      <c r="I95" s="22" t="s">
        <v>43</v>
      </c>
      <c r="J95" s="18">
        <v>24</v>
      </c>
      <c r="K95" s="18" t="s">
        <v>13</v>
      </c>
      <c r="L95" s="18">
        <v>1</v>
      </c>
      <c r="M95" s="22" t="s">
        <v>34</v>
      </c>
    </row>
    <row r="96" spans="1:13" x14ac:dyDescent="0.35">
      <c r="A96" s="18">
        <v>54</v>
      </c>
      <c r="B96" s="22" t="s">
        <v>37</v>
      </c>
      <c r="C96" s="18" t="s">
        <v>19</v>
      </c>
      <c r="D96" s="18">
        <v>2</v>
      </c>
      <c r="E96" s="18" t="s">
        <v>21</v>
      </c>
      <c r="F96" s="18" t="s">
        <v>26</v>
      </c>
      <c r="G96" s="18" t="s">
        <v>27</v>
      </c>
      <c r="H96" s="18">
        <v>1318</v>
      </c>
      <c r="I96" s="22" t="s">
        <v>46</v>
      </c>
      <c r="J96" s="18">
        <v>12</v>
      </c>
      <c r="K96" s="18" t="s">
        <v>14</v>
      </c>
      <c r="L96" s="18">
        <v>1</v>
      </c>
      <c r="M96" s="22" t="s">
        <v>34</v>
      </c>
    </row>
    <row r="97" spans="1:13" x14ac:dyDescent="0.35">
      <c r="A97" s="18">
        <v>58</v>
      </c>
      <c r="B97" s="22" t="s">
        <v>37</v>
      </c>
      <c r="C97" s="18" t="s">
        <v>19</v>
      </c>
      <c r="D97" s="18">
        <v>2</v>
      </c>
      <c r="E97" s="18" t="s">
        <v>23</v>
      </c>
      <c r="F97" s="18" t="s">
        <v>24</v>
      </c>
      <c r="G97" s="18" t="s">
        <v>27</v>
      </c>
      <c r="H97" s="18">
        <v>15945</v>
      </c>
      <c r="I97" s="22" t="s">
        <v>42</v>
      </c>
      <c r="J97" s="18">
        <v>54</v>
      </c>
      <c r="K97" s="18" t="s">
        <v>15</v>
      </c>
      <c r="L97" s="18">
        <v>2</v>
      </c>
      <c r="M97" s="22" t="s">
        <v>45</v>
      </c>
    </row>
    <row r="98" spans="1:13" x14ac:dyDescent="0.35">
      <c r="A98" s="18">
        <v>61</v>
      </c>
      <c r="B98" s="22" t="s">
        <v>37</v>
      </c>
      <c r="C98" s="18" t="s">
        <v>20</v>
      </c>
      <c r="D98" s="18">
        <v>2</v>
      </c>
      <c r="E98" s="18" t="s">
        <v>21</v>
      </c>
      <c r="F98" s="18" t="s">
        <v>10</v>
      </c>
      <c r="G98" s="18" t="s">
        <v>10</v>
      </c>
      <c r="H98" s="18">
        <v>2012</v>
      </c>
      <c r="I98" s="22" t="s">
        <v>43</v>
      </c>
      <c r="J98" s="18">
        <v>12</v>
      </c>
      <c r="K98" s="18" t="s">
        <v>12</v>
      </c>
      <c r="L98" s="18">
        <v>1</v>
      </c>
      <c r="M98" s="22" t="s">
        <v>34</v>
      </c>
    </row>
    <row r="99" spans="1:13" x14ac:dyDescent="0.35">
      <c r="A99" s="18">
        <v>34</v>
      </c>
      <c r="B99" s="22" t="s">
        <v>39</v>
      </c>
      <c r="C99" s="18" t="s">
        <v>19</v>
      </c>
      <c r="D99" s="18">
        <v>2</v>
      </c>
      <c r="E99" s="18" t="s">
        <v>21</v>
      </c>
      <c r="F99" s="18" t="s">
        <v>27</v>
      </c>
      <c r="G99" s="18" t="s">
        <v>27</v>
      </c>
      <c r="H99" s="18">
        <v>2622</v>
      </c>
      <c r="I99" s="22" t="s">
        <v>43</v>
      </c>
      <c r="J99" s="18">
        <v>18</v>
      </c>
      <c r="K99" s="18" t="s">
        <v>15</v>
      </c>
      <c r="L99" s="18">
        <v>1</v>
      </c>
      <c r="M99" s="22" t="s">
        <v>34</v>
      </c>
    </row>
    <row r="100" spans="1:13" x14ac:dyDescent="0.35">
      <c r="A100" s="18">
        <v>36</v>
      </c>
      <c r="B100" s="22" t="s">
        <v>39</v>
      </c>
      <c r="C100" s="18" t="s">
        <v>19</v>
      </c>
      <c r="D100" s="18">
        <v>2</v>
      </c>
      <c r="E100" s="18" t="s">
        <v>21</v>
      </c>
      <c r="F100" s="18" t="s">
        <v>24</v>
      </c>
      <c r="G100" s="18" t="s">
        <v>27</v>
      </c>
      <c r="H100" s="18">
        <v>2337</v>
      </c>
      <c r="I100" s="22" t="s">
        <v>43</v>
      </c>
      <c r="J100" s="18">
        <v>36</v>
      </c>
      <c r="K100" s="18" t="s">
        <v>11</v>
      </c>
      <c r="L100" s="18">
        <v>1</v>
      </c>
      <c r="M100" s="22" t="s">
        <v>34</v>
      </c>
    </row>
    <row r="101" spans="1:13" x14ac:dyDescent="0.35">
      <c r="A101" s="18">
        <v>36</v>
      </c>
      <c r="B101" s="22" t="s">
        <v>39</v>
      </c>
      <c r="C101" s="18" t="s">
        <v>19</v>
      </c>
      <c r="D101" s="18">
        <v>3</v>
      </c>
      <c r="E101" s="18" t="s">
        <v>23</v>
      </c>
      <c r="F101" s="18" t="s">
        <v>10</v>
      </c>
      <c r="G101" s="18" t="s">
        <v>27</v>
      </c>
      <c r="H101" s="18">
        <v>7057</v>
      </c>
      <c r="I101" s="22" t="s">
        <v>42</v>
      </c>
      <c r="J101" s="18">
        <v>20</v>
      </c>
      <c r="K101" s="18" t="s">
        <v>14</v>
      </c>
      <c r="L101" s="18">
        <v>1</v>
      </c>
      <c r="M101" s="22" t="s">
        <v>34</v>
      </c>
    </row>
    <row r="102" spans="1:13" x14ac:dyDescent="0.35">
      <c r="A102" s="18">
        <v>41</v>
      </c>
      <c r="B102" s="22" t="s">
        <v>39</v>
      </c>
      <c r="C102" s="18" t="s">
        <v>19</v>
      </c>
      <c r="D102" s="18">
        <v>1</v>
      </c>
      <c r="E102" s="18" t="s">
        <v>23</v>
      </c>
      <c r="F102" s="18" t="s">
        <v>27</v>
      </c>
      <c r="G102" s="18" t="s">
        <v>10</v>
      </c>
      <c r="H102" s="18">
        <v>1469</v>
      </c>
      <c r="I102" s="22" t="s">
        <v>46</v>
      </c>
      <c r="J102" s="18">
        <v>24</v>
      </c>
      <c r="K102" s="18" t="s">
        <v>14</v>
      </c>
      <c r="L102" s="18">
        <v>1</v>
      </c>
      <c r="M102" s="22" t="s">
        <v>34</v>
      </c>
    </row>
    <row r="103" spans="1:13" x14ac:dyDescent="0.35">
      <c r="A103" s="18">
        <v>24</v>
      </c>
      <c r="B103" s="22" t="s">
        <v>38</v>
      </c>
      <c r="C103" s="18" t="s">
        <v>19</v>
      </c>
      <c r="D103" s="18">
        <v>2</v>
      </c>
      <c r="E103" s="18" t="s">
        <v>23</v>
      </c>
      <c r="F103" s="18" t="s">
        <v>24</v>
      </c>
      <c r="G103" s="18" t="s">
        <v>27</v>
      </c>
      <c r="H103" s="18">
        <v>2323</v>
      </c>
      <c r="I103" s="22" t="s">
        <v>43</v>
      </c>
      <c r="J103" s="18">
        <v>36</v>
      </c>
      <c r="K103" s="18" t="s">
        <v>11</v>
      </c>
      <c r="L103" s="18">
        <v>1</v>
      </c>
      <c r="M103" s="22" t="s">
        <v>34</v>
      </c>
    </row>
    <row r="104" spans="1:13" x14ac:dyDescent="0.35">
      <c r="A104" s="18">
        <v>24</v>
      </c>
      <c r="B104" s="22" t="s">
        <v>38</v>
      </c>
      <c r="C104" s="18" t="s">
        <v>20</v>
      </c>
      <c r="D104" s="18">
        <v>2</v>
      </c>
      <c r="E104" s="18" t="s">
        <v>21</v>
      </c>
      <c r="F104" s="18" t="s">
        <v>24</v>
      </c>
      <c r="G104" s="18" t="s">
        <v>10</v>
      </c>
      <c r="H104" s="18">
        <v>932</v>
      </c>
      <c r="I104" s="22" t="s">
        <v>46</v>
      </c>
      <c r="J104" s="18">
        <v>6</v>
      </c>
      <c r="K104" s="18" t="s">
        <v>11</v>
      </c>
      <c r="L104" s="18">
        <v>1</v>
      </c>
      <c r="M104" s="22" t="s">
        <v>34</v>
      </c>
    </row>
    <row r="105" spans="1:13" x14ac:dyDescent="0.35">
      <c r="A105" s="18">
        <v>35</v>
      </c>
      <c r="B105" s="22" t="s">
        <v>39</v>
      </c>
      <c r="C105" s="18" t="s">
        <v>19</v>
      </c>
      <c r="D105" s="18">
        <v>2</v>
      </c>
      <c r="E105" s="18" t="s">
        <v>23</v>
      </c>
      <c r="F105" s="18" t="s">
        <v>24</v>
      </c>
      <c r="G105" s="18" t="s">
        <v>27</v>
      </c>
      <c r="H105" s="18">
        <v>1919</v>
      </c>
      <c r="I105" s="22" t="s">
        <v>46</v>
      </c>
      <c r="J105" s="18">
        <v>9</v>
      </c>
      <c r="K105" s="18" t="s">
        <v>13</v>
      </c>
      <c r="L105" s="18">
        <v>1</v>
      </c>
      <c r="M105" s="22" t="s">
        <v>34</v>
      </c>
    </row>
    <row r="106" spans="1:13" x14ac:dyDescent="0.35">
      <c r="A106" s="18">
        <v>26</v>
      </c>
      <c r="B106" s="22" t="s">
        <v>38</v>
      </c>
      <c r="C106" s="18" t="s">
        <v>19</v>
      </c>
      <c r="D106" s="18">
        <v>2</v>
      </c>
      <c r="E106" s="18" t="s">
        <v>23</v>
      </c>
      <c r="F106" s="18" t="s">
        <v>10</v>
      </c>
      <c r="G106" s="18" t="s">
        <v>10</v>
      </c>
      <c r="H106" s="18">
        <v>2445</v>
      </c>
      <c r="I106" s="22" t="s">
        <v>43</v>
      </c>
      <c r="J106" s="18">
        <v>12</v>
      </c>
      <c r="K106" s="18" t="s">
        <v>14</v>
      </c>
      <c r="L106" s="18">
        <v>1</v>
      </c>
      <c r="M106" s="22" t="s">
        <v>34</v>
      </c>
    </row>
    <row r="107" spans="1:13" x14ac:dyDescent="0.35">
      <c r="A107" s="18">
        <v>39</v>
      </c>
      <c r="B107" s="22" t="s">
        <v>39</v>
      </c>
      <c r="C107" s="18" t="s">
        <v>19</v>
      </c>
      <c r="D107" s="18">
        <v>3</v>
      </c>
      <c r="E107" s="18" t="s">
        <v>21</v>
      </c>
      <c r="F107" s="18" t="s">
        <v>24</v>
      </c>
      <c r="G107" s="18" t="s">
        <v>27</v>
      </c>
      <c r="H107" s="18">
        <v>11938</v>
      </c>
      <c r="I107" s="22" t="s">
        <v>42</v>
      </c>
      <c r="J107" s="18">
        <v>24</v>
      </c>
      <c r="K107" s="18" t="s">
        <v>18</v>
      </c>
      <c r="L107" s="18">
        <v>2</v>
      </c>
      <c r="M107" s="22" t="s">
        <v>45</v>
      </c>
    </row>
    <row r="108" spans="1:13" x14ac:dyDescent="0.35">
      <c r="A108" s="18">
        <v>39</v>
      </c>
      <c r="B108" s="22" t="s">
        <v>39</v>
      </c>
      <c r="C108" s="18" t="s">
        <v>19</v>
      </c>
      <c r="D108" s="18">
        <v>3</v>
      </c>
      <c r="E108" s="18" t="s">
        <v>21</v>
      </c>
      <c r="F108" s="18" t="s">
        <v>24</v>
      </c>
      <c r="G108" s="18" t="s">
        <v>10</v>
      </c>
      <c r="H108" s="18">
        <v>6458</v>
      </c>
      <c r="I108" s="22" t="s">
        <v>42</v>
      </c>
      <c r="J108" s="18">
        <v>18</v>
      </c>
      <c r="K108" s="18" t="s">
        <v>14</v>
      </c>
      <c r="L108" s="18">
        <v>2</v>
      </c>
      <c r="M108" s="22" t="s">
        <v>45</v>
      </c>
    </row>
    <row r="109" spans="1:13" x14ac:dyDescent="0.35">
      <c r="A109" s="18">
        <v>32</v>
      </c>
      <c r="B109" s="22" t="s">
        <v>39</v>
      </c>
      <c r="C109" s="18" t="s">
        <v>19</v>
      </c>
      <c r="D109" s="18">
        <v>2</v>
      </c>
      <c r="E109" s="18" t="s">
        <v>21</v>
      </c>
      <c r="F109" s="18" t="s">
        <v>24</v>
      </c>
      <c r="G109" s="18" t="s">
        <v>27</v>
      </c>
      <c r="H109" s="18">
        <v>6078</v>
      </c>
      <c r="I109" s="22" t="s">
        <v>42</v>
      </c>
      <c r="J109" s="18">
        <v>12</v>
      </c>
      <c r="K109" s="18" t="s">
        <v>14</v>
      </c>
      <c r="L109" s="18">
        <v>1</v>
      </c>
      <c r="M109" s="22" t="s">
        <v>34</v>
      </c>
    </row>
    <row r="110" spans="1:13" x14ac:dyDescent="0.35">
      <c r="A110" s="18">
        <v>30</v>
      </c>
      <c r="B110" s="22" t="s">
        <v>39</v>
      </c>
      <c r="C110" s="18" t="s">
        <v>20</v>
      </c>
      <c r="D110" s="18">
        <v>2</v>
      </c>
      <c r="E110" s="18" t="s">
        <v>21</v>
      </c>
      <c r="F110" s="18" t="s">
        <v>10</v>
      </c>
      <c r="G110" s="18" t="s">
        <v>24</v>
      </c>
      <c r="H110" s="18">
        <v>7721</v>
      </c>
      <c r="I110" s="22" t="s">
        <v>42</v>
      </c>
      <c r="J110" s="18">
        <v>24</v>
      </c>
      <c r="K110" s="18" t="s">
        <v>13</v>
      </c>
      <c r="L110" s="18">
        <v>1</v>
      </c>
      <c r="M110" s="22" t="s">
        <v>34</v>
      </c>
    </row>
    <row r="111" spans="1:13" x14ac:dyDescent="0.35">
      <c r="A111" s="18">
        <v>35</v>
      </c>
      <c r="B111" s="22" t="s">
        <v>39</v>
      </c>
      <c r="C111" s="18" t="s">
        <v>19</v>
      </c>
      <c r="D111" s="18">
        <v>2</v>
      </c>
      <c r="E111" s="18" t="s">
        <v>21</v>
      </c>
      <c r="F111" s="18" t="s">
        <v>25</v>
      </c>
      <c r="G111" s="18" t="s">
        <v>27</v>
      </c>
      <c r="H111" s="18">
        <v>1410</v>
      </c>
      <c r="I111" s="22" t="s">
        <v>46</v>
      </c>
      <c r="J111" s="18">
        <v>14</v>
      </c>
      <c r="K111" s="18" t="s">
        <v>15</v>
      </c>
      <c r="L111" s="18">
        <v>1</v>
      </c>
      <c r="M111" s="22" t="s">
        <v>34</v>
      </c>
    </row>
    <row r="112" spans="1:13" x14ac:dyDescent="0.35">
      <c r="A112" s="18">
        <v>31</v>
      </c>
      <c r="B112" s="22" t="s">
        <v>39</v>
      </c>
      <c r="C112" s="18" t="s">
        <v>19</v>
      </c>
      <c r="D112" s="18">
        <v>2</v>
      </c>
      <c r="E112" s="18" t="s">
        <v>21</v>
      </c>
      <c r="F112" s="18" t="s">
        <v>27</v>
      </c>
      <c r="G112" s="18" t="s">
        <v>27</v>
      </c>
      <c r="H112" s="18">
        <v>1449</v>
      </c>
      <c r="I112" s="22" t="s">
        <v>46</v>
      </c>
      <c r="J112" s="18">
        <v>6</v>
      </c>
      <c r="K112" s="18" t="s">
        <v>15</v>
      </c>
      <c r="L112" s="18">
        <v>1</v>
      </c>
      <c r="M112" s="22" t="s">
        <v>34</v>
      </c>
    </row>
    <row r="113" spans="1:13" x14ac:dyDescent="0.35">
      <c r="A113" s="18">
        <v>23</v>
      </c>
      <c r="B113" s="22" t="s">
        <v>38</v>
      </c>
      <c r="C113" s="18" t="s">
        <v>20</v>
      </c>
      <c r="D113" s="18">
        <v>2</v>
      </c>
      <c r="E113" s="18" t="s">
        <v>23</v>
      </c>
      <c r="F113" s="18" t="s">
        <v>24</v>
      </c>
      <c r="G113" s="18" t="s">
        <v>26</v>
      </c>
      <c r="H113" s="18">
        <v>392</v>
      </c>
      <c r="I113" s="22" t="s">
        <v>46</v>
      </c>
      <c r="J113" s="18">
        <v>15</v>
      </c>
      <c r="K113" s="18" t="s">
        <v>12</v>
      </c>
      <c r="L113" s="18">
        <v>1</v>
      </c>
      <c r="M113" s="22" t="s">
        <v>34</v>
      </c>
    </row>
    <row r="114" spans="1:13" x14ac:dyDescent="0.35">
      <c r="A114" s="18">
        <v>28</v>
      </c>
      <c r="B114" s="22" t="s">
        <v>38</v>
      </c>
      <c r="C114" s="18" t="s">
        <v>19</v>
      </c>
      <c r="D114" s="18">
        <v>1</v>
      </c>
      <c r="E114" s="18" t="s">
        <v>23</v>
      </c>
      <c r="F114" s="18" t="s">
        <v>24</v>
      </c>
      <c r="G114" s="18" t="s">
        <v>27</v>
      </c>
      <c r="H114" s="18">
        <v>6260</v>
      </c>
      <c r="I114" s="22" t="s">
        <v>42</v>
      </c>
      <c r="J114" s="18">
        <v>18</v>
      </c>
      <c r="K114" s="18" t="s">
        <v>14</v>
      </c>
      <c r="L114" s="18">
        <v>1</v>
      </c>
      <c r="M114" s="22" t="s">
        <v>34</v>
      </c>
    </row>
    <row r="115" spans="1:13" x14ac:dyDescent="0.35">
      <c r="A115" s="18">
        <v>25</v>
      </c>
      <c r="B115" s="22" t="s">
        <v>38</v>
      </c>
      <c r="C115" s="18" t="s">
        <v>20</v>
      </c>
      <c r="D115" s="18">
        <v>2</v>
      </c>
      <c r="E115" s="18" t="s">
        <v>21</v>
      </c>
      <c r="F115" s="18" t="s">
        <v>24</v>
      </c>
      <c r="G115" s="18" t="s">
        <v>10</v>
      </c>
      <c r="H115" s="18">
        <v>7855</v>
      </c>
      <c r="I115" s="22" t="s">
        <v>42</v>
      </c>
      <c r="J115" s="18">
        <v>36</v>
      </c>
      <c r="K115" s="18" t="s">
        <v>14</v>
      </c>
      <c r="L115" s="18">
        <v>2</v>
      </c>
      <c r="M115" s="22" t="s">
        <v>45</v>
      </c>
    </row>
    <row r="116" spans="1:13" x14ac:dyDescent="0.35">
      <c r="A116" s="18">
        <v>35</v>
      </c>
      <c r="B116" s="22" t="s">
        <v>39</v>
      </c>
      <c r="C116" s="18" t="s">
        <v>19</v>
      </c>
      <c r="D116" s="18">
        <v>2</v>
      </c>
      <c r="E116" s="18" t="s">
        <v>21</v>
      </c>
      <c r="F116" s="18" t="s">
        <v>25</v>
      </c>
      <c r="G116" s="18" t="s">
        <v>24</v>
      </c>
      <c r="H116" s="18">
        <v>1680</v>
      </c>
      <c r="I116" s="22" t="s">
        <v>46</v>
      </c>
      <c r="J116" s="18">
        <v>12</v>
      </c>
      <c r="K116" s="18" t="s">
        <v>11</v>
      </c>
      <c r="L116" s="18">
        <v>1</v>
      </c>
      <c r="M116" s="22" t="s">
        <v>34</v>
      </c>
    </row>
    <row r="117" spans="1:13" x14ac:dyDescent="0.35">
      <c r="A117" s="18">
        <v>47</v>
      </c>
      <c r="B117" s="22" t="s">
        <v>39</v>
      </c>
      <c r="C117" s="18" t="s">
        <v>19</v>
      </c>
      <c r="D117" s="18">
        <v>2</v>
      </c>
      <c r="E117" s="18" t="s">
        <v>21</v>
      </c>
      <c r="F117" s="18" t="s">
        <v>10</v>
      </c>
      <c r="G117" s="18" t="s">
        <v>10</v>
      </c>
      <c r="H117" s="18">
        <v>3578</v>
      </c>
      <c r="I117" s="22" t="s">
        <v>43</v>
      </c>
      <c r="J117" s="18">
        <v>48</v>
      </c>
      <c r="K117" s="18" t="s">
        <v>11</v>
      </c>
      <c r="L117" s="18">
        <v>1</v>
      </c>
      <c r="M117" s="22" t="s">
        <v>34</v>
      </c>
    </row>
    <row r="118" spans="1:13" x14ac:dyDescent="0.35">
      <c r="A118" s="18">
        <v>30</v>
      </c>
      <c r="B118" s="22" t="s">
        <v>39</v>
      </c>
      <c r="C118" s="18" t="s">
        <v>20</v>
      </c>
      <c r="D118" s="18">
        <v>3</v>
      </c>
      <c r="E118" s="18" t="s">
        <v>21</v>
      </c>
      <c r="F118" s="18" t="s">
        <v>10</v>
      </c>
      <c r="G118" s="18" t="s">
        <v>24</v>
      </c>
      <c r="H118" s="18">
        <v>7174</v>
      </c>
      <c r="I118" s="22" t="s">
        <v>42</v>
      </c>
      <c r="J118" s="18">
        <v>42</v>
      </c>
      <c r="K118" s="18" t="s">
        <v>11</v>
      </c>
      <c r="L118" s="18">
        <v>2</v>
      </c>
      <c r="M118" s="22" t="s">
        <v>45</v>
      </c>
    </row>
    <row r="119" spans="1:13" x14ac:dyDescent="0.35">
      <c r="A119" s="18">
        <v>27</v>
      </c>
      <c r="B119" s="22" t="s">
        <v>38</v>
      </c>
      <c r="C119" s="18" t="s">
        <v>20</v>
      </c>
      <c r="D119" s="18">
        <v>2</v>
      </c>
      <c r="E119" s="18" t="s">
        <v>23</v>
      </c>
      <c r="F119" s="18" t="s">
        <v>10</v>
      </c>
      <c r="G119" s="18" t="s">
        <v>24</v>
      </c>
      <c r="H119" s="18">
        <v>2132</v>
      </c>
      <c r="I119" s="22" t="s">
        <v>43</v>
      </c>
      <c r="J119" s="18">
        <v>10</v>
      </c>
      <c r="K119" s="18" t="s">
        <v>13</v>
      </c>
      <c r="L119" s="18">
        <v>1</v>
      </c>
      <c r="M119" s="22" t="s">
        <v>34</v>
      </c>
    </row>
    <row r="120" spans="1:13" x14ac:dyDescent="0.35">
      <c r="A120" s="18">
        <v>23</v>
      </c>
      <c r="B120" s="22" t="s">
        <v>38</v>
      </c>
      <c r="C120" s="18" t="s">
        <v>20</v>
      </c>
      <c r="D120" s="18">
        <v>2</v>
      </c>
      <c r="E120" s="18" t="s">
        <v>21</v>
      </c>
      <c r="F120" s="18" t="s">
        <v>25</v>
      </c>
      <c r="G120" s="18" t="s">
        <v>24</v>
      </c>
      <c r="H120" s="18">
        <v>4281</v>
      </c>
      <c r="I120" s="22" t="s">
        <v>43</v>
      </c>
      <c r="J120" s="18">
        <v>33</v>
      </c>
      <c r="K120" s="18" t="s">
        <v>13</v>
      </c>
      <c r="L120" s="18">
        <v>2</v>
      </c>
      <c r="M120" s="22" t="s">
        <v>45</v>
      </c>
    </row>
    <row r="121" spans="1:13" x14ac:dyDescent="0.35">
      <c r="A121" s="18">
        <v>36</v>
      </c>
      <c r="B121" s="22" t="s">
        <v>39</v>
      </c>
      <c r="C121" s="18" t="s">
        <v>19</v>
      </c>
      <c r="D121" s="18">
        <v>3</v>
      </c>
      <c r="E121" s="18" t="s">
        <v>21</v>
      </c>
      <c r="F121" s="18" t="s">
        <v>25</v>
      </c>
      <c r="G121" s="18" t="s">
        <v>27</v>
      </c>
      <c r="H121" s="18">
        <v>2366</v>
      </c>
      <c r="I121" s="22" t="s">
        <v>43</v>
      </c>
      <c r="J121" s="18">
        <v>12</v>
      </c>
      <c r="K121" s="18" t="s">
        <v>14</v>
      </c>
      <c r="L121" s="18">
        <v>1</v>
      </c>
      <c r="M121" s="22" t="s">
        <v>34</v>
      </c>
    </row>
    <row r="122" spans="1:13" x14ac:dyDescent="0.35">
      <c r="A122" s="18">
        <v>25</v>
      </c>
      <c r="B122" s="22" t="s">
        <v>38</v>
      </c>
      <c r="C122" s="18" t="s">
        <v>20</v>
      </c>
      <c r="D122" s="18">
        <v>2</v>
      </c>
      <c r="E122" s="18" t="s">
        <v>21</v>
      </c>
      <c r="F122" s="18" t="s">
        <v>24</v>
      </c>
      <c r="G122" s="18" t="s">
        <v>24</v>
      </c>
      <c r="H122" s="18">
        <v>1835</v>
      </c>
      <c r="I122" s="22" t="s">
        <v>46</v>
      </c>
      <c r="J122" s="18">
        <v>21</v>
      </c>
      <c r="K122" s="18" t="s">
        <v>11</v>
      </c>
      <c r="L122" s="18">
        <v>2</v>
      </c>
      <c r="M122" s="22" t="s">
        <v>45</v>
      </c>
    </row>
    <row r="123" spans="1:13" x14ac:dyDescent="0.35">
      <c r="A123" s="18">
        <v>41</v>
      </c>
      <c r="B123" s="22" t="s">
        <v>39</v>
      </c>
      <c r="C123" s="18" t="s">
        <v>20</v>
      </c>
      <c r="D123" s="18">
        <v>3</v>
      </c>
      <c r="E123" s="18" t="s">
        <v>23</v>
      </c>
      <c r="F123" s="18" t="s">
        <v>24</v>
      </c>
      <c r="G123" s="18" t="s">
        <v>10</v>
      </c>
      <c r="H123" s="18">
        <v>3868</v>
      </c>
      <c r="I123" s="22" t="s">
        <v>43</v>
      </c>
      <c r="J123" s="18">
        <v>24</v>
      </c>
      <c r="K123" s="18" t="s">
        <v>14</v>
      </c>
      <c r="L123" s="18">
        <v>1</v>
      </c>
      <c r="M123" s="22" t="s">
        <v>34</v>
      </c>
    </row>
    <row r="124" spans="1:13" x14ac:dyDescent="0.35">
      <c r="A124" s="18">
        <v>24</v>
      </c>
      <c r="B124" s="22" t="s">
        <v>38</v>
      </c>
      <c r="C124" s="18" t="s">
        <v>19</v>
      </c>
      <c r="D124" s="18">
        <v>1</v>
      </c>
      <c r="E124" s="18" t="s">
        <v>23</v>
      </c>
      <c r="F124" s="18" t="s">
        <v>24</v>
      </c>
      <c r="G124" s="18" t="s">
        <v>10</v>
      </c>
      <c r="H124" s="18">
        <v>1768</v>
      </c>
      <c r="I124" s="22" t="s">
        <v>46</v>
      </c>
      <c r="J124" s="18">
        <v>12</v>
      </c>
      <c r="K124" s="18" t="s">
        <v>13</v>
      </c>
      <c r="L124" s="18">
        <v>1</v>
      </c>
      <c r="M124" s="22" t="s">
        <v>34</v>
      </c>
    </row>
    <row r="125" spans="1:13" x14ac:dyDescent="0.35">
      <c r="A125" s="18">
        <v>63</v>
      </c>
      <c r="B125" s="22" t="s">
        <v>37</v>
      </c>
      <c r="C125" s="18" t="s">
        <v>19</v>
      </c>
      <c r="D125" s="18">
        <v>2</v>
      </c>
      <c r="E125" s="18" t="s">
        <v>22</v>
      </c>
      <c r="F125" s="18" t="s">
        <v>24</v>
      </c>
      <c r="G125" s="18" t="s">
        <v>26</v>
      </c>
      <c r="H125" s="18">
        <v>781</v>
      </c>
      <c r="I125" s="22" t="s">
        <v>46</v>
      </c>
      <c r="J125" s="18">
        <v>10</v>
      </c>
      <c r="K125" s="18" t="s">
        <v>14</v>
      </c>
      <c r="L125" s="18">
        <v>1</v>
      </c>
      <c r="M125" s="22" t="s">
        <v>34</v>
      </c>
    </row>
    <row r="126" spans="1:13" x14ac:dyDescent="0.35">
      <c r="A126" s="18">
        <v>27</v>
      </c>
      <c r="B126" s="22" t="s">
        <v>38</v>
      </c>
      <c r="C126" s="18" t="s">
        <v>20</v>
      </c>
      <c r="D126" s="18">
        <v>2</v>
      </c>
      <c r="E126" s="18" t="s">
        <v>23</v>
      </c>
      <c r="F126" s="18" t="s">
        <v>10</v>
      </c>
      <c r="G126" s="18" t="s">
        <v>27</v>
      </c>
      <c r="H126" s="18">
        <v>1924</v>
      </c>
      <c r="I126" s="22" t="s">
        <v>46</v>
      </c>
      <c r="J126" s="18">
        <v>18</v>
      </c>
      <c r="K126" s="18" t="s">
        <v>13</v>
      </c>
      <c r="L126" s="18">
        <v>2</v>
      </c>
      <c r="M126" s="22" t="s">
        <v>45</v>
      </c>
    </row>
    <row r="127" spans="1:13" x14ac:dyDescent="0.35">
      <c r="A127" s="18">
        <v>30</v>
      </c>
      <c r="B127" s="22" t="s">
        <v>39</v>
      </c>
      <c r="C127" s="18" t="s">
        <v>19</v>
      </c>
      <c r="D127" s="18">
        <v>2</v>
      </c>
      <c r="E127" s="18" t="s">
        <v>21</v>
      </c>
      <c r="F127" s="18" t="s">
        <v>24</v>
      </c>
      <c r="G127" s="18" t="s">
        <v>24</v>
      </c>
      <c r="H127" s="18">
        <v>2121</v>
      </c>
      <c r="I127" s="22" t="s">
        <v>43</v>
      </c>
      <c r="J127" s="18">
        <v>12</v>
      </c>
      <c r="K127" s="18" t="s">
        <v>14</v>
      </c>
      <c r="L127" s="18">
        <v>1</v>
      </c>
      <c r="M127" s="22" t="s">
        <v>34</v>
      </c>
    </row>
    <row r="128" spans="1:13" x14ac:dyDescent="0.35">
      <c r="A128" s="18">
        <v>40</v>
      </c>
      <c r="B128" s="22" t="s">
        <v>39</v>
      </c>
      <c r="C128" s="18" t="s">
        <v>19</v>
      </c>
      <c r="D128" s="18">
        <v>1</v>
      </c>
      <c r="E128" s="18" t="s">
        <v>21</v>
      </c>
      <c r="F128" s="18" t="s">
        <v>24</v>
      </c>
      <c r="G128" s="18" t="s">
        <v>24</v>
      </c>
      <c r="H128" s="18">
        <v>701</v>
      </c>
      <c r="I128" s="22" t="s">
        <v>46</v>
      </c>
      <c r="J128" s="18">
        <v>12</v>
      </c>
      <c r="K128" s="18" t="s">
        <v>11</v>
      </c>
      <c r="L128" s="18">
        <v>1</v>
      </c>
      <c r="M128" s="22" t="s">
        <v>34</v>
      </c>
    </row>
    <row r="129" spans="1:13" x14ac:dyDescent="0.35">
      <c r="A129" s="18">
        <v>30</v>
      </c>
      <c r="B129" s="22" t="s">
        <v>39</v>
      </c>
      <c r="C129" s="18" t="s">
        <v>19</v>
      </c>
      <c r="D129" s="18">
        <v>2</v>
      </c>
      <c r="E129" s="18" t="s">
        <v>21</v>
      </c>
      <c r="F129" s="18" t="s">
        <v>24</v>
      </c>
      <c r="G129" s="18" t="s">
        <v>27</v>
      </c>
      <c r="H129" s="18">
        <v>639</v>
      </c>
      <c r="I129" s="22" t="s">
        <v>46</v>
      </c>
      <c r="J129" s="18">
        <v>12</v>
      </c>
      <c r="K129" s="18" t="s">
        <v>17</v>
      </c>
      <c r="L129" s="18">
        <v>2</v>
      </c>
      <c r="M129" s="22" t="s">
        <v>45</v>
      </c>
    </row>
    <row r="130" spans="1:13" x14ac:dyDescent="0.35">
      <c r="A130" s="18">
        <v>34</v>
      </c>
      <c r="B130" s="22" t="s">
        <v>39</v>
      </c>
      <c r="C130" s="18" t="s">
        <v>19</v>
      </c>
      <c r="D130" s="18">
        <v>3</v>
      </c>
      <c r="E130" s="18" t="s">
        <v>21</v>
      </c>
      <c r="F130" s="18" t="s">
        <v>24</v>
      </c>
      <c r="G130" s="18" t="s">
        <v>27</v>
      </c>
      <c r="H130" s="18">
        <v>1860</v>
      </c>
      <c r="I130" s="22" t="s">
        <v>46</v>
      </c>
      <c r="J130" s="18">
        <v>12</v>
      </c>
      <c r="K130" s="18" t="s">
        <v>14</v>
      </c>
      <c r="L130" s="18">
        <v>1</v>
      </c>
      <c r="M130" s="22" t="s">
        <v>34</v>
      </c>
    </row>
    <row r="131" spans="1:13" x14ac:dyDescent="0.35">
      <c r="A131" s="18">
        <v>29</v>
      </c>
      <c r="B131" s="22" t="s">
        <v>38</v>
      </c>
      <c r="C131" s="18" t="s">
        <v>20</v>
      </c>
      <c r="D131" s="18">
        <v>2</v>
      </c>
      <c r="E131" s="18" t="s">
        <v>21</v>
      </c>
      <c r="F131" s="18" t="s">
        <v>24</v>
      </c>
      <c r="G131" s="18" t="s">
        <v>24</v>
      </c>
      <c r="H131" s="18">
        <v>3499</v>
      </c>
      <c r="I131" s="22" t="s">
        <v>43</v>
      </c>
      <c r="J131" s="18">
        <v>12</v>
      </c>
      <c r="K131" s="18" t="s">
        <v>14</v>
      </c>
      <c r="L131" s="18">
        <v>2</v>
      </c>
      <c r="M131" s="22" t="s">
        <v>45</v>
      </c>
    </row>
    <row r="132" spans="1:13" x14ac:dyDescent="0.35">
      <c r="A132" s="18">
        <v>24</v>
      </c>
      <c r="B132" s="22" t="s">
        <v>38</v>
      </c>
      <c r="C132" s="18" t="s">
        <v>20</v>
      </c>
      <c r="D132" s="18">
        <v>2</v>
      </c>
      <c r="E132" s="18" t="s">
        <v>21</v>
      </c>
      <c r="F132" s="18" t="s">
        <v>10</v>
      </c>
      <c r="G132" s="18" t="s">
        <v>27</v>
      </c>
      <c r="H132" s="18">
        <v>8487</v>
      </c>
      <c r="I132" s="22" t="s">
        <v>42</v>
      </c>
      <c r="J132" s="18">
        <v>48</v>
      </c>
      <c r="K132" s="18" t="s">
        <v>14</v>
      </c>
      <c r="L132" s="18">
        <v>1</v>
      </c>
      <c r="M132" s="22" t="s">
        <v>34</v>
      </c>
    </row>
    <row r="133" spans="1:13" x14ac:dyDescent="0.35">
      <c r="A133" s="18">
        <v>29</v>
      </c>
      <c r="B133" s="22" t="s">
        <v>38</v>
      </c>
      <c r="C133" s="18" t="s">
        <v>19</v>
      </c>
      <c r="D133" s="18">
        <v>2</v>
      </c>
      <c r="E133" s="18" t="s">
        <v>21</v>
      </c>
      <c r="F133" s="18" t="s">
        <v>24</v>
      </c>
      <c r="G133" s="18" t="s">
        <v>24</v>
      </c>
      <c r="H133" s="18">
        <v>6887</v>
      </c>
      <c r="I133" s="22" t="s">
        <v>42</v>
      </c>
      <c r="J133" s="18">
        <v>36</v>
      </c>
      <c r="K133" s="18" t="s">
        <v>12</v>
      </c>
      <c r="L133" s="18">
        <v>2</v>
      </c>
      <c r="M133" s="22" t="s">
        <v>45</v>
      </c>
    </row>
    <row r="134" spans="1:13" x14ac:dyDescent="0.35">
      <c r="A134" s="18">
        <v>27</v>
      </c>
      <c r="B134" s="22" t="s">
        <v>38</v>
      </c>
      <c r="C134" s="18" t="s">
        <v>19</v>
      </c>
      <c r="D134" s="18">
        <v>1</v>
      </c>
      <c r="E134" s="18" t="s">
        <v>21</v>
      </c>
      <c r="F134" s="18" t="s">
        <v>24</v>
      </c>
      <c r="G134" s="18" t="s">
        <v>10</v>
      </c>
      <c r="H134" s="18">
        <v>2708</v>
      </c>
      <c r="I134" s="22" t="s">
        <v>43</v>
      </c>
      <c r="J134" s="18">
        <v>15</v>
      </c>
      <c r="K134" s="18" t="s">
        <v>13</v>
      </c>
      <c r="L134" s="18">
        <v>1</v>
      </c>
      <c r="M134" s="22" t="s">
        <v>34</v>
      </c>
    </row>
    <row r="135" spans="1:13" x14ac:dyDescent="0.35">
      <c r="A135" s="18">
        <v>47</v>
      </c>
      <c r="B135" s="22" t="s">
        <v>39</v>
      </c>
      <c r="C135" s="18" t="s">
        <v>19</v>
      </c>
      <c r="D135" s="18">
        <v>2</v>
      </c>
      <c r="E135" s="18" t="s">
        <v>22</v>
      </c>
      <c r="F135" s="18" t="s">
        <v>24</v>
      </c>
      <c r="G135" s="18" t="s">
        <v>10</v>
      </c>
      <c r="H135" s="18">
        <v>1984</v>
      </c>
      <c r="I135" s="22" t="s">
        <v>46</v>
      </c>
      <c r="J135" s="18">
        <v>18</v>
      </c>
      <c r="K135" s="18" t="s">
        <v>13</v>
      </c>
      <c r="L135" s="18">
        <v>1</v>
      </c>
      <c r="M135" s="22" t="s">
        <v>34</v>
      </c>
    </row>
    <row r="136" spans="1:13" x14ac:dyDescent="0.35">
      <c r="A136" s="18">
        <v>21</v>
      </c>
      <c r="B136" s="22" t="s">
        <v>38</v>
      </c>
      <c r="C136" s="18" t="s">
        <v>20</v>
      </c>
      <c r="D136" s="18">
        <v>2</v>
      </c>
      <c r="E136" s="18" t="s">
        <v>21</v>
      </c>
      <c r="F136" s="18" t="s">
        <v>27</v>
      </c>
      <c r="G136" s="18" t="s">
        <v>10</v>
      </c>
      <c r="H136" s="18">
        <v>10144</v>
      </c>
      <c r="I136" s="22" t="s">
        <v>42</v>
      </c>
      <c r="J136" s="18">
        <v>60</v>
      </c>
      <c r="K136" s="18" t="s">
        <v>11</v>
      </c>
      <c r="L136" s="18">
        <v>1</v>
      </c>
      <c r="M136" s="22" t="s">
        <v>34</v>
      </c>
    </row>
    <row r="137" spans="1:13" x14ac:dyDescent="0.35">
      <c r="A137" s="18">
        <v>38</v>
      </c>
      <c r="B137" s="22" t="s">
        <v>39</v>
      </c>
      <c r="C137" s="18" t="s">
        <v>20</v>
      </c>
      <c r="D137" s="18">
        <v>2</v>
      </c>
      <c r="E137" s="18" t="s">
        <v>21</v>
      </c>
      <c r="F137" s="18" t="s">
        <v>10</v>
      </c>
      <c r="G137" s="18" t="s">
        <v>10</v>
      </c>
      <c r="H137" s="18">
        <v>1240</v>
      </c>
      <c r="I137" s="22" t="s">
        <v>46</v>
      </c>
      <c r="J137" s="18">
        <v>12</v>
      </c>
      <c r="K137" s="18" t="s">
        <v>11</v>
      </c>
      <c r="L137" s="18">
        <v>1</v>
      </c>
      <c r="M137" s="22" t="s">
        <v>34</v>
      </c>
    </row>
    <row r="138" spans="1:13" x14ac:dyDescent="0.35">
      <c r="A138" s="18">
        <v>27</v>
      </c>
      <c r="B138" s="22" t="s">
        <v>38</v>
      </c>
      <c r="C138" s="18" t="s">
        <v>19</v>
      </c>
      <c r="D138" s="18">
        <v>2</v>
      </c>
      <c r="E138" s="18" t="s">
        <v>21</v>
      </c>
      <c r="F138" s="18" t="s">
        <v>26</v>
      </c>
      <c r="G138" s="18" t="s">
        <v>10</v>
      </c>
      <c r="H138" s="18">
        <v>8613</v>
      </c>
      <c r="I138" s="22" t="s">
        <v>42</v>
      </c>
      <c r="J138" s="18">
        <v>27</v>
      </c>
      <c r="K138" s="18" t="s">
        <v>14</v>
      </c>
      <c r="L138" s="18">
        <v>1</v>
      </c>
      <c r="M138" s="22" t="s">
        <v>34</v>
      </c>
    </row>
    <row r="139" spans="1:13" x14ac:dyDescent="0.35">
      <c r="A139" s="18">
        <v>66</v>
      </c>
      <c r="B139" s="22" t="s">
        <v>37</v>
      </c>
      <c r="C139" s="18" t="s">
        <v>19</v>
      </c>
      <c r="D139" s="18">
        <v>1</v>
      </c>
      <c r="E139" s="18" t="s">
        <v>21</v>
      </c>
      <c r="F139" s="18" t="s">
        <v>25</v>
      </c>
      <c r="G139" s="18" t="s">
        <v>27</v>
      </c>
      <c r="H139" s="18">
        <v>766</v>
      </c>
      <c r="I139" s="22" t="s">
        <v>46</v>
      </c>
      <c r="J139" s="18">
        <v>12</v>
      </c>
      <c r="K139" s="18" t="s">
        <v>11</v>
      </c>
      <c r="L139" s="18">
        <v>2</v>
      </c>
      <c r="M139" s="22" t="s">
        <v>45</v>
      </c>
    </row>
    <row r="140" spans="1:13" x14ac:dyDescent="0.35">
      <c r="A140" s="18">
        <v>35</v>
      </c>
      <c r="B140" s="22" t="s">
        <v>39</v>
      </c>
      <c r="C140" s="18" t="s">
        <v>19</v>
      </c>
      <c r="D140" s="18">
        <v>2</v>
      </c>
      <c r="E140" s="18" t="s">
        <v>21</v>
      </c>
      <c r="F140" s="18" t="s">
        <v>10</v>
      </c>
      <c r="G140" s="18" t="s">
        <v>27</v>
      </c>
      <c r="H140" s="18">
        <v>2728</v>
      </c>
      <c r="I140" s="22" t="s">
        <v>43</v>
      </c>
      <c r="J140" s="18">
        <v>15</v>
      </c>
      <c r="K140" s="18" t="s">
        <v>11</v>
      </c>
      <c r="L140" s="18">
        <v>1</v>
      </c>
      <c r="M140" s="22" t="s">
        <v>34</v>
      </c>
    </row>
    <row r="141" spans="1:13" x14ac:dyDescent="0.35">
      <c r="A141" s="18">
        <v>44</v>
      </c>
      <c r="B141" s="22" t="s">
        <v>39</v>
      </c>
      <c r="C141" s="18" t="s">
        <v>20</v>
      </c>
      <c r="D141" s="18">
        <v>1</v>
      </c>
      <c r="E141" s="18" t="s">
        <v>23</v>
      </c>
      <c r="F141" s="18" t="s">
        <v>24</v>
      </c>
      <c r="G141" s="18" t="s">
        <v>26</v>
      </c>
      <c r="H141" s="18">
        <v>1881</v>
      </c>
      <c r="I141" s="22" t="s">
        <v>46</v>
      </c>
      <c r="J141" s="18">
        <v>12</v>
      </c>
      <c r="K141" s="18" t="s">
        <v>11</v>
      </c>
      <c r="L141" s="18">
        <v>1</v>
      </c>
      <c r="M141" s="22" t="s">
        <v>34</v>
      </c>
    </row>
    <row r="142" spans="1:13" x14ac:dyDescent="0.35">
      <c r="A142" s="18">
        <v>27</v>
      </c>
      <c r="B142" s="22" t="s">
        <v>38</v>
      </c>
      <c r="C142" s="18" t="s">
        <v>19</v>
      </c>
      <c r="D142" s="18">
        <v>0</v>
      </c>
      <c r="E142" s="18" t="s">
        <v>21</v>
      </c>
      <c r="F142" s="18" t="s">
        <v>26</v>
      </c>
      <c r="G142" s="18" t="s">
        <v>26</v>
      </c>
      <c r="H142" s="18">
        <v>709</v>
      </c>
      <c r="I142" s="22" t="s">
        <v>46</v>
      </c>
      <c r="J142" s="18">
        <v>6</v>
      </c>
      <c r="K142" s="18" t="s">
        <v>14</v>
      </c>
      <c r="L142" s="18">
        <v>1</v>
      </c>
      <c r="M142" s="22" t="s">
        <v>34</v>
      </c>
    </row>
    <row r="143" spans="1:13" x14ac:dyDescent="0.35">
      <c r="A143" s="18">
        <v>30</v>
      </c>
      <c r="B143" s="22" t="s">
        <v>39</v>
      </c>
      <c r="C143" s="18" t="s">
        <v>20</v>
      </c>
      <c r="D143" s="18">
        <v>3</v>
      </c>
      <c r="E143" s="18" t="s">
        <v>21</v>
      </c>
      <c r="F143" s="18" t="s">
        <v>24</v>
      </c>
      <c r="G143" s="18" t="s">
        <v>27</v>
      </c>
      <c r="H143" s="18">
        <v>4795</v>
      </c>
      <c r="I143" s="22" t="s">
        <v>43</v>
      </c>
      <c r="J143" s="18">
        <v>36</v>
      </c>
      <c r="K143" s="18" t="s">
        <v>11</v>
      </c>
      <c r="L143" s="18">
        <v>1</v>
      </c>
      <c r="M143" s="22" t="s">
        <v>34</v>
      </c>
    </row>
    <row r="144" spans="1:13" x14ac:dyDescent="0.35">
      <c r="A144" s="18">
        <v>27</v>
      </c>
      <c r="B144" s="22" t="s">
        <v>38</v>
      </c>
      <c r="C144" s="18" t="s">
        <v>19</v>
      </c>
      <c r="D144" s="18">
        <v>3</v>
      </c>
      <c r="E144" s="18" t="s">
        <v>21</v>
      </c>
      <c r="F144" s="18" t="s">
        <v>24</v>
      </c>
      <c r="G144" s="18" t="s">
        <v>24</v>
      </c>
      <c r="H144" s="18">
        <v>3416</v>
      </c>
      <c r="I144" s="22" t="s">
        <v>43</v>
      </c>
      <c r="J144" s="18">
        <v>27</v>
      </c>
      <c r="K144" s="18" t="s">
        <v>11</v>
      </c>
      <c r="L144" s="18">
        <v>1</v>
      </c>
      <c r="M144" s="22" t="s">
        <v>34</v>
      </c>
    </row>
    <row r="145" spans="1:13" x14ac:dyDescent="0.35">
      <c r="A145" s="18">
        <v>22</v>
      </c>
      <c r="B145" s="22" t="s">
        <v>38</v>
      </c>
      <c r="C145" s="18" t="s">
        <v>19</v>
      </c>
      <c r="D145" s="18">
        <v>2</v>
      </c>
      <c r="E145" s="18" t="s">
        <v>21</v>
      </c>
      <c r="F145" s="18" t="s">
        <v>24</v>
      </c>
      <c r="G145" s="18" t="s">
        <v>24</v>
      </c>
      <c r="H145" s="18">
        <v>2462</v>
      </c>
      <c r="I145" s="22" t="s">
        <v>43</v>
      </c>
      <c r="J145" s="18">
        <v>18</v>
      </c>
      <c r="K145" s="18" t="s">
        <v>13</v>
      </c>
      <c r="L145" s="18">
        <v>2</v>
      </c>
      <c r="M145" s="22" t="s">
        <v>45</v>
      </c>
    </row>
    <row r="146" spans="1:13" x14ac:dyDescent="0.35">
      <c r="A146" s="18">
        <v>23</v>
      </c>
      <c r="B146" s="22" t="s">
        <v>38</v>
      </c>
      <c r="C146" s="18" t="s">
        <v>20</v>
      </c>
      <c r="D146" s="18">
        <v>2</v>
      </c>
      <c r="E146" s="18" t="s">
        <v>21</v>
      </c>
      <c r="F146" s="18" t="s">
        <v>24</v>
      </c>
      <c r="G146" s="18" t="s">
        <v>10</v>
      </c>
      <c r="H146" s="18">
        <v>2288</v>
      </c>
      <c r="I146" s="22" t="s">
        <v>43</v>
      </c>
      <c r="J146" s="18">
        <v>21</v>
      </c>
      <c r="K146" s="18" t="s">
        <v>13</v>
      </c>
      <c r="L146" s="18">
        <v>1</v>
      </c>
      <c r="M146" s="22" t="s">
        <v>34</v>
      </c>
    </row>
    <row r="147" spans="1:13" x14ac:dyDescent="0.35">
      <c r="A147" s="18">
        <v>30</v>
      </c>
      <c r="B147" s="22" t="s">
        <v>39</v>
      </c>
      <c r="C147" s="18" t="s">
        <v>19</v>
      </c>
      <c r="D147" s="18">
        <v>2</v>
      </c>
      <c r="E147" s="18" t="s">
        <v>21</v>
      </c>
      <c r="F147" s="18" t="s">
        <v>27</v>
      </c>
      <c r="G147" s="18" t="s">
        <v>27</v>
      </c>
      <c r="H147" s="18">
        <v>3566</v>
      </c>
      <c r="I147" s="22" t="s">
        <v>43</v>
      </c>
      <c r="J147" s="18">
        <v>48</v>
      </c>
      <c r="K147" s="18" t="s">
        <v>15</v>
      </c>
      <c r="L147" s="18">
        <v>1</v>
      </c>
      <c r="M147" s="22" t="s">
        <v>34</v>
      </c>
    </row>
    <row r="148" spans="1:13" x14ac:dyDescent="0.35">
      <c r="A148" s="18">
        <v>39</v>
      </c>
      <c r="B148" s="22" t="s">
        <v>39</v>
      </c>
      <c r="C148" s="18" t="s">
        <v>20</v>
      </c>
      <c r="D148" s="18">
        <v>2</v>
      </c>
      <c r="E148" s="18" t="s">
        <v>21</v>
      </c>
      <c r="F148" s="18" t="s">
        <v>24</v>
      </c>
      <c r="G148" s="18" t="s">
        <v>24</v>
      </c>
      <c r="H148" s="18">
        <v>860</v>
      </c>
      <c r="I148" s="22" t="s">
        <v>46</v>
      </c>
      <c r="J148" s="18">
        <v>6</v>
      </c>
      <c r="K148" s="18" t="s">
        <v>14</v>
      </c>
      <c r="L148" s="18">
        <v>1</v>
      </c>
      <c r="M148" s="22" t="s">
        <v>34</v>
      </c>
    </row>
    <row r="149" spans="1:13" x14ac:dyDescent="0.35">
      <c r="A149" s="18">
        <v>51</v>
      </c>
      <c r="B149" s="22" t="s">
        <v>37</v>
      </c>
      <c r="C149" s="18" t="s">
        <v>20</v>
      </c>
      <c r="D149" s="18">
        <v>2</v>
      </c>
      <c r="E149" s="18" t="s">
        <v>21</v>
      </c>
      <c r="F149" s="18" t="s">
        <v>27</v>
      </c>
      <c r="G149" s="18" t="s">
        <v>10</v>
      </c>
      <c r="H149" s="18">
        <v>682</v>
      </c>
      <c r="I149" s="22" t="s">
        <v>46</v>
      </c>
      <c r="J149" s="18">
        <v>12</v>
      </c>
      <c r="K149" s="18" t="s">
        <v>14</v>
      </c>
      <c r="L149" s="18">
        <v>1</v>
      </c>
      <c r="M149" s="22" t="s">
        <v>34</v>
      </c>
    </row>
    <row r="150" spans="1:13" x14ac:dyDescent="0.35">
      <c r="A150" s="18">
        <v>28</v>
      </c>
      <c r="B150" s="22" t="s">
        <v>38</v>
      </c>
      <c r="C150" s="18" t="s">
        <v>19</v>
      </c>
      <c r="D150" s="18">
        <v>2</v>
      </c>
      <c r="E150" s="18" t="s">
        <v>21</v>
      </c>
      <c r="F150" s="18" t="s">
        <v>24</v>
      </c>
      <c r="G150" s="18" t="s">
        <v>24</v>
      </c>
      <c r="H150" s="18">
        <v>5371</v>
      </c>
      <c r="I150" s="22" t="s">
        <v>42</v>
      </c>
      <c r="J150" s="18">
        <v>36</v>
      </c>
      <c r="K150" s="18" t="s">
        <v>13</v>
      </c>
      <c r="L150" s="18">
        <v>1</v>
      </c>
      <c r="M150" s="22" t="s">
        <v>34</v>
      </c>
    </row>
    <row r="151" spans="1:13" x14ac:dyDescent="0.35">
      <c r="A151" s="18">
        <v>46</v>
      </c>
      <c r="B151" s="22" t="s">
        <v>39</v>
      </c>
      <c r="C151" s="18" t="s">
        <v>19</v>
      </c>
      <c r="D151" s="18">
        <v>2</v>
      </c>
      <c r="E151" s="18" t="s">
        <v>21</v>
      </c>
      <c r="F151" s="18" t="s">
        <v>26</v>
      </c>
      <c r="G151" s="18" t="s">
        <v>10</v>
      </c>
      <c r="H151" s="18">
        <v>1582</v>
      </c>
      <c r="I151" s="22" t="s">
        <v>46</v>
      </c>
      <c r="J151" s="18">
        <v>18</v>
      </c>
      <c r="K151" s="18" t="s">
        <v>11</v>
      </c>
      <c r="L151" s="18">
        <v>1</v>
      </c>
      <c r="M151" s="22" t="s">
        <v>34</v>
      </c>
    </row>
    <row r="152" spans="1:13" x14ac:dyDescent="0.35">
      <c r="A152" s="18">
        <v>42</v>
      </c>
      <c r="B152" s="22" t="s">
        <v>39</v>
      </c>
      <c r="C152" s="18" t="s">
        <v>19</v>
      </c>
      <c r="D152" s="18">
        <v>2</v>
      </c>
      <c r="E152" s="18" t="s">
        <v>22</v>
      </c>
      <c r="F152" s="18" t="s">
        <v>27</v>
      </c>
      <c r="G152" s="18" t="s">
        <v>10</v>
      </c>
      <c r="H152" s="18">
        <v>1346</v>
      </c>
      <c r="I152" s="22" t="s">
        <v>46</v>
      </c>
      <c r="J152" s="18">
        <v>6</v>
      </c>
      <c r="K152" s="18" t="s">
        <v>11</v>
      </c>
      <c r="L152" s="18">
        <v>1</v>
      </c>
      <c r="M152" s="22" t="s">
        <v>34</v>
      </c>
    </row>
    <row r="153" spans="1:13" x14ac:dyDescent="0.35">
      <c r="A153" s="18">
        <v>38</v>
      </c>
      <c r="B153" s="22" t="s">
        <v>39</v>
      </c>
      <c r="C153" s="18" t="s">
        <v>19</v>
      </c>
      <c r="D153" s="18">
        <v>2</v>
      </c>
      <c r="E153" s="18" t="s">
        <v>21</v>
      </c>
      <c r="F153" s="18" t="s">
        <v>24</v>
      </c>
      <c r="G153" s="18" t="s">
        <v>10</v>
      </c>
      <c r="H153" s="18">
        <v>1924</v>
      </c>
      <c r="I153" s="22" t="s">
        <v>46</v>
      </c>
      <c r="J153" s="18">
        <v>10</v>
      </c>
      <c r="K153" s="18" t="s">
        <v>11</v>
      </c>
      <c r="L153" s="18">
        <v>1</v>
      </c>
      <c r="M153" s="22" t="s">
        <v>34</v>
      </c>
    </row>
    <row r="154" spans="1:13" x14ac:dyDescent="0.35">
      <c r="A154" s="18">
        <v>24</v>
      </c>
      <c r="B154" s="22" t="s">
        <v>38</v>
      </c>
      <c r="C154" s="18" t="s">
        <v>19</v>
      </c>
      <c r="D154" s="18">
        <v>2</v>
      </c>
      <c r="E154" s="18" t="s">
        <v>21</v>
      </c>
      <c r="F154" s="18" t="s">
        <v>24</v>
      </c>
      <c r="G154" s="18" t="s">
        <v>26</v>
      </c>
      <c r="H154" s="18">
        <v>5848</v>
      </c>
      <c r="I154" s="22" t="s">
        <v>42</v>
      </c>
      <c r="J154" s="18">
        <v>36</v>
      </c>
      <c r="K154" s="18" t="s">
        <v>11</v>
      </c>
      <c r="L154" s="18">
        <v>1</v>
      </c>
      <c r="M154" s="22" t="s">
        <v>34</v>
      </c>
    </row>
    <row r="155" spans="1:13" x14ac:dyDescent="0.35">
      <c r="A155" s="18">
        <v>29</v>
      </c>
      <c r="B155" s="22" t="s">
        <v>38</v>
      </c>
      <c r="C155" s="18" t="s">
        <v>20</v>
      </c>
      <c r="D155" s="18">
        <v>2</v>
      </c>
      <c r="E155" s="18" t="s">
        <v>23</v>
      </c>
      <c r="F155" s="18" t="s">
        <v>26</v>
      </c>
      <c r="G155" s="18" t="s">
        <v>27</v>
      </c>
      <c r="H155" s="18">
        <v>7758</v>
      </c>
      <c r="I155" s="22" t="s">
        <v>42</v>
      </c>
      <c r="J155" s="18">
        <v>24</v>
      </c>
      <c r="K155" s="18" t="s">
        <v>14</v>
      </c>
      <c r="L155" s="18">
        <v>1</v>
      </c>
      <c r="M155" s="22" t="s">
        <v>34</v>
      </c>
    </row>
    <row r="156" spans="1:13" x14ac:dyDescent="0.35">
      <c r="A156" s="18">
        <v>36</v>
      </c>
      <c r="B156" s="22" t="s">
        <v>39</v>
      </c>
      <c r="C156" s="18" t="s">
        <v>19</v>
      </c>
      <c r="D156" s="18">
        <v>3</v>
      </c>
      <c r="E156" s="18" t="s">
        <v>23</v>
      </c>
      <c r="F156" s="18" t="s">
        <v>27</v>
      </c>
      <c r="G156" s="18" t="s">
        <v>27</v>
      </c>
      <c r="H156" s="18">
        <v>6967</v>
      </c>
      <c r="I156" s="22" t="s">
        <v>42</v>
      </c>
      <c r="J156" s="18">
        <v>24</v>
      </c>
      <c r="K156" s="18" t="s">
        <v>15</v>
      </c>
      <c r="L156" s="18">
        <v>1</v>
      </c>
      <c r="M156" s="22" t="s">
        <v>34</v>
      </c>
    </row>
    <row r="157" spans="1:13" x14ac:dyDescent="0.35">
      <c r="A157" s="18">
        <v>20</v>
      </c>
      <c r="B157" s="22" t="s">
        <v>38</v>
      </c>
      <c r="C157" s="18" t="s">
        <v>20</v>
      </c>
      <c r="D157" s="18">
        <v>2</v>
      </c>
      <c r="E157" s="18" t="s">
        <v>23</v>
      </c>
      <c r="F157" s="18" t="s">
        <v>24</v>
      </c>
      <c r="G157" s="18" t="s">
        <v>24</v>
      </c>
      <c r="H157" s="18">
        <v>1282</v>
      </c>
      <c r="I157" s="22" t="s">
        <v>46</v>
      </c>
      <c r="J157" s="18">
        <v>12</v>
      </c>
      <c r="K157" s="18" t="s">
        <v>13</v>
      </c>
      <c r="L157" s="18">
        <v>2</v>
      </c>
      <c r="M157" s="22" t="s">
        <v>45</v>
      </c>
    </row>
    <row r="158" spans="1:13" x14ac:dyDescent="0.35">
      <c r="A158" s="18">
        <v>48</v>
      </c>
      <c r="B158" s="22" t="s">
        <v>39</v>
      </c>
      <c r="C158" s="18" t="s">
        <v>19</v>
      </c>
      <c r="D158" s="18">
        <v>2</v>
      </c>
      <c r="E158" s="18" t="s">
        <v>21</v>
      </c>
      <c r="F158" s="18" t="s">
        <v>27</v>
      </c>
      <c r="G158" s="18" t="s">
        <v>24</v>
      </c>
      <c r="H158" s="18">
        <v>1288</v>
      </c>
      <c r="I158" s="22" t="s">
        <v>46</v>
      </c>
      <c r="J158" s="18">
        <v>9</v>
      </c>
      <c r="K158" s="18" t="s">
        <v>17</v>
      </c>
      <c r="L158" s="18">
        <v>1</v>
      </c>
      <c r="M158" s="22" t="s">
        <v>34</v>
      </c>
    </row>
    <row r="159" spans="1:13" x14ac:dyDescent="0.35">
      <c r="A159" s="18">
        <v>45</v>
      </c>
      <c r="B159" s="22" t="s">
        <v>39</v>
      </c>
      <c r="C159" s="18" t="s">
        <v>19</v>
      </c>
      <c r="D159" s="18">
        <v>1</v>
      </c>
      <c r="E159" s="18" t="s">
        <v>21</v>
      </c>
      <c r="F159" s="18" t="s">
        <v>24</v>
      </c>
      <c r="G159" s="18" t="s">
        <v>24</v>
      </c>
      <c r="H159" s="18">
        <v>339</v>
      </c>
      <c r="I159" s="22" t="s">
        <v>46</v>
      </c>
      <c r="J159" s="18">
        <v>12</v>
      </c>
      <c r="K159" s="18" t="s">
        <v>12</v>
      </c>
      <c r="L159" s="18">
        <v>1</v>
      </c>
      <c r="M159" s="22" t="s">
        <v>34</v>
      </c>
    </row>
    <row r="160" spans="1:13" x14ac:dyDescent="0.35">
      <c r="A160" s="18">
        <v>38</v>
      </c>
      <c r="B160" s="22" t="s">
        <v>39</v>
      </c>
      <c r="C160" s="18" t="s">
        <v>19</v>
      </c>
      <c r="D160" s="18">
        <v>2</v>
      </c>
      <c r="E160" s="18" t="s">
        <v>21</v>
      </c>
      <c r="F160" s="18" t="s">
        <v>27</v>
      </c>
      <c r="G160" s="18" t="s">
        <v>27</v>
      </c>
      <c r="H160" s="18">
        <v>3512</v>
      </c>
      <c r="I160" s="22" t="s">
        <v>43</v>
      </c>
      <c r="J160" s="18">
        <v>24</v>
      </c>
      <c r="K160" s="18" t="s">
        <v>14</v>
      </c>
      <c r="L160" s="18">
        <v>1</v>
      </c>
      <c r="M160" s="22" t="s">
        <v>34</v>
      </c>
    </row>
    <row r="161" spans="1:13" x14ac:dyDescent="0.35">
      <c r="A161" s="18">
        <v>34</v>
      </c>
      <c r="B161" s="22" t="s">
        <v>39</v>
      </c>
      <c r="C161" s="18" t="s">
        <v>19</v>
      </c>
      <c r="D161" s="18">
        <v>1</v>
      </c>
      <c r="E161" s="18" t="s">
        <v>21</v>
      </c>
      <c r="F161" s="18" t="s">
        <v>10</v>
      </c>
      <c r="G161" s="18" t="s">
        <v>10</v>
      </c>
      <c r="H161" s="18">
        <v>1898</v>
      </c>
      <c r="I161" s="22" t="s">
        <v>46</v>
      </c>
      <c r="J161" s="18">
        <v>6</v>
      </c>
      <c r="K161" s="18" t="s">
        <v>11</v>
      </c>
      <c r="L161" s="18">
        <v>1</v>
      </c>
      <c r="M161" s="22" t="s">
        <v>34</v>
      </c>
    </row>
    <row r="162" spans="1:13" x14ac:dyDescent="0.35">
      <c r="A162" s="18">
        <v>36</v>
      </c>
      <c r="B162" s="22" t="s">
        <v>39</v>
      </c>
      <c r="C162" s="18" t="s">
        <v>19</v>
      </c>
      <c r="D162" s="18">
        <v>2</v>
      </c>
      <c r="E162" s="18" t="s">
        <v>21</v>
      </c>
      <c r="F162" s="18" t="s">
        <v>27</v>
      </c>
      <c r="G162" s="18" t="s">
        <v>10</v>
      </c>
      <c r="H162" s="18">
        <v>2872</v>
      </c>
      <c r="I162" s="22" t="s">
        <v>43</v>
      </c>
      <c r="J162" s="18">
        <v>24</v>
      </c>
      <c r="K162" s="18" t="s">
        <v>11</v>
      </c>
      <c r="L162" s="18">
        <v>1</v>
      </c>
      <c r="M162" s="22" t="s">
        <v>34</v>
      </c>
    </row>
    <row r="163" spans="1:13" x14ac:dyDescent="0.35">
      <c r="A163" s="18">
        <v>30</v>
      </c>
      <c r="B163" s="22" t="s">
        <v>39</v>
      </c>
      <c r="C163" s="18" t="s">
        <v>20</v>
      </c>
      <c r="D163" s="18">
        <v>2</v>
      </c>
      <c r="E163" s="18" t="s">
        <v>21</v>
      </c>
      <c r="F163" s="18" t="s">
        <v>24</v>
      </c>
      <c r="G163" s="18" t="s">
        <v>10</v>
      </c>
      <c r="H163" s="18">
        <v>1055</v>
      </c>
      <c r="I163" s="22" t="s">
        <v>46</v>
      </c>
      <c r="J163" s="18">
        <v>18</v>
      </c>
      <c r="K163" s="18" t="s">
        <v>14</v>
      </c>
      <c r="L163" s="18">
        <v>1</v>
      </c>
      <c r="M163" s="22" t="s">
        <v>34</v>
      </c>
    </row>
    <row r="164" spans="1:13" x14ac:dyDescent="0.35">
      <c r="A164" s="18">
        <v>36</v>
      </c>
      <c r="B164" s="22" t="s">
        <v>39</v>
      </c>
      <c r="C164" s="18" t="s">
        <v>19</v>
      </c>
      <c r="D164" s="18">
        <v>2</v>
      </c>
      <c r="E164" s="18" t="s">
        <v>21</v>
      </c>
      <c r="F164" s="18" t="s">
        <v>25</v>
      </c>
      <c r="G164" s="18" t="s">
        <v>10</v>
      </c>
      <c r="H164" s="18">
        <v>1262</v>
      </c>
      <c r="I164" s="22" t="s">
        <v>46</v>
      </c>
      <c r="J164" s="18">
        <v>15</v>
      </c>
      <c r="K164" s="18" t="s">
        <v>16</v>
      </c>
      <c r="L164" s="18">
        <v>1</v>
      </c>
      <c r="M164" s="22" t="s">
        <v>34</v>
      </c>
    </row>
    <row r="165" spans="1:13" x14ac:dyDescent="0.35">
      <c r="A165" s="18">
        <v>70</v>
      </c>
      <c r="B165" s="22" t="s">
        <v>37</v>
      </c>
      <c r="C165" s="18" t="s">
        <v>19</v>
      </c>
      <c r="D165" s="18">
        <v>3</v>
      </c>
      <c r="E165" s="18" t="s">
        <v>22</v>
      </c>
      <c r="F165" s="18" t="s">
        <v>24</v>
      </c>
      <c r="G165" s="18" t="s">
        <v>27</v>
      </c>
      <c r="H165" s="18">
        <v>7308</v>
      </c>
      <c r="I165" s="22" t="s">
        <v>42</v>
      </c>
      <c r="J165" s="18">
        <v>10</v>
      </c>
      <c r="K165" s="18" t="s">
        <v>14</v>
      </c>
      <c r="L165" s="18">
        <v>1</v>
      </c>
      <c r="M165" s="22" t="s">
        <v>34</v>
      </c>
    </row>
    <row r="166" spans="1:13" x14ac:dyDescent="0.35">
      <c r="A166" s="18">
        <v>36</v>
      </c>
      <c r="B166" s="22" t="s">
        <v>39</v>
      </c>
      <c r="C166" s="18" t="s">
        <v>19</v>
      </c>
      <c r="D166" s="18">
        <v>2</v>
      </c>
      <c r="E166" s="18" t="s">
        <v>21</v>
      </c>
      <c r="F166" s="18" t="s">
        <v>25</v>
      </c>
      <c r="G166" s="18" t="s">
        <v>10</v>
      </c>
      <c r="H166" s="18">
        <v>909</v>
      </c>
      <c r="I166" s="22" t="s">
        <v>46</v>
      </c>
      <c r="J166" s="18">
        <v>36</v>
      </c>
      <c r="K166" s="18" t="s">
        <v>14</v>
      </c>
      <c r="L166" s="18">
        <v>1</v>
      </c>
      <c r="M166" s="22" t="s">
        <v>34</v>
      </c>
    </row>
    <row r="167" spans="1:13" x14ac:dyDescent="0.35">
      <c r="A167" s="18">
        <v>32</v>
      </c>
      <c r="B167" s="22" t="s">
        <v>39</v>
      </c>
      <c r="C167" s="18" t="s">
        <v>19</v>
      </c>
      <c r="D167" s="18">
        <v>2</v>
      </c>
      <c r="E167" s="18" t="s">
        <v>21</v>
      </c>
      <c r="F167" s="18" t="s">
        <v>25</v>
      </c>
      <c r="G167" s="18" t="s">
        <v>10</v>
      </c>
      <c r="H167" s="18">
        <v>2978</v>
      </c>
      <c r="I167" s="22" t="s">
        <v>43</v>
      </c>
      <c r="J167" s="18">
        <v>6</v>
      </c>
      <c r="K167" s="18" t="s">
        <v>13</v>
      </c>
      <c r="L167" s="18">
        <v>1</v>
      </c>
      <c r="M167" s="22" t="s">
        <v>34</v>
      </c>
    </row>
    <row r="168" spans="1:13" x14ac:dyDescent="0.35">
      <c r="A168" s="18">
        <v>33</v>
      </c>
      <c r="B168" s="22" t="s">
        <v>39</v>
      </c>
      <c r="C168" s="18" t="s">
        <v>20</v>
      </c>
      <c r="D168" s="18">
        <v>2</v>
      </c>
      <c r="E168" s="18" t="s">
        <v>21</v>
      </c>
      <c r="F168" s="18" t="s">
        <v>24</v>
      </c>
      <c r="G168" s="18" t="s">
        <v>24</v>
      </c>
      <c r="H168" s="18">
        <v>1131</v>
      </c>
      <c r="I168" s="22" t="s">
        <v>46</v>
      </c>
      <c r="J168" s="18">
        <v>18</v>
      </c>
      <c r="K168" s="18" t="s">
        <v>13</v>
      </c>
      <c r="L168" s="18">
        <v>2</v>
      </c>
      <c r="M168" s="22" t="s">
        <v>45</v>
      </c>
    </row>
    <row r="169" spans="1:13" x14ac:dyDescent="0.35">
      <c r="A169" s="18">
        <v>20</v>
      </c>
      <c r="B169" s="22" t="s">
        <v>38</v>
      </c>
      <c r="C169" s="18" t="s">
        <v>20</v>
      </c>
      <c r="D169" s="18">
        <v>2</v>
      </c>
      <c r="E169" s="18" t="s">
        <v>21</v>
      </c>
      <c r="F169" s="18" t="s">
        <v>26</v>
      </c>
      <c r="G169" s="18" t="s">
        <v>27</v>
      </c>
      <c r="H169" s="18">
        <v>1577</v>
      </c>
      <c r="I169" s="22" t="s">
        <v>46</v>
      </c>
      <c r="J169" s="18">
        <v>11</v>
      </c>
      <c r="K169" s="18" t="s">
        <v>13</v>
      </c>
      <c r="L169" s="18">
        <v>1</v>
      </c>
      <c r="M169" s="22" t="s">
        <v>34</v>
      </c>
    </row>
    <row r="170" spans="1:13" x14ac:dyDescent="0.35">
      <c r="A170" s="18">
        <v>25</v>
      </c>
      <c r="B170" s="22" t="s">
        <v>38</v>
      </c>
      <c r="C170" s="18" t="s">
        <v>20</v>
      </c>
      <c r="D170" s="18">
        <v>2</v>
      </c>
      <c r="E170" s="18" t="s">
        <v>23</v>
      </c>
      <c r="F170" s="18" t="s">
        <v>24</v>
      </c>
      <c r="G170" s="18" t="s">
        <v>10</v>
      </c>
      <c r="H170" s="18">
        <v>3972</v>
      </c>
      <c r="I170" s="22" t="s">
        <v>43</v>
      </c>
      <c r="J170" s="18">
        <v>24</v>
      </c>
      <c r="K170" s="18" t="s">
        <v>13</v>
      </c>
      <c r="L170" s="18">
        <v>1</v>
      </c>
      <c r="M170" s="22" t="s">
        <v>34</v>
      </c>
    </row>
    <row r="171" spans="1:13" x14ac:dyDescent="0.35">
      <c r="A171" s="18">
        <v>31</v>
      </c>
      <c r="B171" s="22" t="s">
        <v>39</v>
      </c>
      <c r="C171" s="18" t="s">
        <v>19</v>
      </c>
      <c r="D171" s="18">
        <v>2</v>
      </c>
      <c r="E171" s="18" t="s">
        <v>21</v>
      </c>
      <c r="F171" s="18" t="s">
        <v>24</v>
      </c>
      <c r="G171" s="18" t="s">
        <v>27</v>
      </c>
      <c r="H171" s="18">
        <v>1935</v>
      </c>
      <c r="I171" s="22" t="s">
        <v>46</v>
      </c>
      <c r="J171" s="18">
        <v>24</v>
      </c>
      <c r="K171" s="18" t="s">
        <v>15</v>
      </c>
      <c r="L171" s="18">
        <v>2</v>
      </c>
      <c r="M171" s="22" t="s">
        <v>45</v>
      </c>
    </row>
    <row r="172" spans="1:13" x14ac:dyDescent="0.35">
      <c r="A172" s="18">
        <v>33</v>
      </c>
      <c r="B172" s="22" t="s">
        <v>39</v>
      </c>
      <c r="C172" s="18" t="s">
        <v>19</v>
      </c>
      <c r="D172" s="18">
        <v>2</v>
      </c>
      <c r="E172" s="18" t="s">
        <v>23</v>
      </c>
      <c r="F172" s="18" t="s">
        <v>24</v>
      </c>
      <c r="G172" s="18" t="s">
        <v>24</v>
      </c>
      <c r="H172" s="18">
        <v>950</v>
      </c>
      <c r="I172" s="22" t="s">
        <v>46</v>
      </c>
      <c r="J172" s="18">
        <v>15</v>
      </c>
      <c r="K172" s="18" t="s">
        <v>14</v>
      </c>
      <c r="L172" s="18">
        <v>2</v>
      </c>
      <c r="M172" s="22" t="s">
        <v>45</v>
      </c>
    </row>
    <row r="173" spans="1:13" x14ac:dyDescent="0.35">
      <c r="A173" s="18">
        <v>26</v>
      </c>
      <c r="B173" s="22" t="s">
        <v>38</v>
      </c>
      <c r="C173" s="18" t="s">
        <v>20</v>
      </c>
      <c r="D173" s="18">
        <v>2</v>
      </c>
      <c r="E173" s="18" t="s">
        <v>21</v>
      </c>
      <c r="F173" s="18" t="s">
        <v>24</v>
      </c>
      <c r="G173" s="18" t="s">
        <v>10</v>
      </c>
      <c r="H173" s="18">
        <v>763</v>
      </c>
      <c r="I173" s="22" t="s">
        <v>46</v>
      </c>
      <c r="J173" s="18">
        <v>12</v>
      </c>
      <c r="K173" s="18" t="s">
        <v>13</v>
      </c>
      <c r="L173" s="18">
        <v>1</v>
      </c>
      <c r="M173" s="22" t="s">
        <v>34</v>
      </c>
    </row>
    <row r="174" spans="1:13" x14ac:dyDescent="0.35">
      <c r="A174" s="18">
        <v>34</v>
      </c>
      <c r="B174" s="22" t="s">
        <v>39</v>
      </c>
      <c r="C174" s="18" t="s">
        <v>20</v>
      </c>
      <c r="D174" s="18">
        <v>3</v>
      </c>
      <c r="E174" s="18" t="s">
        <v>21</v>
      </c>
      <c r="F174" s="18" t="s">
        <v>24</v>
      </c>
      <c r="G174" s="18" t="s">
        <v>27</v>
      </c>
      <c r="H174" s="18">
        <v>2064</v>
      </c>
      <c r="I174" s="22" t="s">
        <v>43</v>
      </c>
      <c r="J174" s="18">
        <v>24</v>
      </c>
      <c r="K174" s="18" t="s">
        <v>13</v>
      </c>
      <c r="L174" s="18">
        <v>2</v>
      </c>
      <c r="M174" s="22" t="s">
        <v>45</v>
      </c>
    </row>
    <row r="175" spans="1:13" x14ac:dyDescent="0.35">
      <c r="A175" s="18">
        <v>33</v>
      </c>
      <c r="B175" s="22" t="s">
        <v>39</v>
      </c>
      <c r="C175" s="18" t="s">
        <v>19</v>
      </c>
      <c r="D175" s="18">
        <v>2</v>
      </c>
      <c r="E175" s="18" t="s">
        <v>21</v>
      </c>
      <c r="F175" s="18" t="s">
        <v>24</v>
      </c>
      <c r="G175" s="18" t="s">
        <v>27</v>
      </c>
      <c r="H175" s="18">
        <v>1414</v>
      </c>
      <c r="I175" s="22" t="s">
        <v>46</v>
      </c>
      <c r="J175" s="18">
        <v>8</v>
      </c>
      <c r="K175" s="18" t="s">
        <v>11</v>
      </c>
      <c r="L175" s="18">
        <v>1</v>
      </c>
      <c r="M175" s="22" t="s">
        <v>34</v>
      </c>
    </row>
    <row r="176" spans="1:13" x14ac:dyDescent="0.35">
      <c r="A176" s="18">
        <v>26</v>
      </c>
      <c r="B176" s="22" t="s">
        <v>38</v>
      </c>
      <c r="C176" s="18" t="s">
        <v>19</v>
      </c>
      <c r="D176" s="18">
        <v>2</v>
      </c>
      <c r="E176" s="18" t="s">
        <v>21</v>
      </c>
      <c r="F176" s="18" t="s">
        <v>24</v>
      </c>
      <c r="G176" s="18" t="s">
        <v>24</v>
      </c>
      <c r="H176" s="18">
        <v>3414</v>
      </c>
      <c r="I176" s="22" t="s">
        <v>43</v>
      </c>
      <c r="J176" s="18">
        <v>21</v>
      </c>
      <c r="K176" s="18" t="s">
        <v>12</v>
      </c>
      <c r="L176" s="18">
        <v>2</v>
      </c>
      <c r="M176" s="22" t="s">
        <v>45</v>
      </c>
    </row>
    <row r="177" spans="1:13" x14ac:dyDescent="0.35">
      <c r="A177" s="18">
        <v>53</v>
      </c>
      <c r="B177" s="22" t="s">
        <v>37</v>
      </c>
      <c r="C177" s="18" t="s">
        <v>20</v>
      </c>
      <c r="D177" s="18">
        <v>3</v>
      </c>
      <c r="E177" s="18" t="s">
        <v>21</v>
      </c>
      <c r="F177" s="18" t="s">
        <v>10</v>
      </c>
      <c r="G177" s="18" t="s">
        <v>10</v>
      </c>
      <c r="H177" s="18">
        <v>7485</v>
      </c>
      <c r="I177" s="22" t="s">
        <v>42</v>
      </c>
      <c r="J177" s="18">
        <v>30</v>
      </c>
      <c r="K177" s="18" t="s">
        <v>14</v>
      </c>
      <c r="L177" s="18">
        <v>2</v>
      </c>
      <c r="M177" s="22" t="s">
        <v>45</v>
      </c>
    </row>
    <row r="178" spans="1:13" x14ac:dyDescent="0.35">
      <c r="A178" s="18">
        <v>42</v>
      </c>
      <c r="B178" s="22" t="s">
        <v>39</v>
      </c>
      <c r="C178" s="18" t="s">
        <v>19</v>
      </c>
      <c r="D178" s="18">
        <v>2</v>
      </c>
      <c r="E178" s="18" t="s">
        <v>21</v>
      </c>
      <c r="F178" s="18" t="s">
        <v>24</v>
      </c>
      <c r="G178" s="18" t="s">
        <v>24</v>
      </c>
      <c r="H178" s="18">
        <v>2577</v>
      </c>
      <c r="I178" s="22" t="s">
        <v>43</v>
      </c>
      <c r="J178" s="18">
        <v>12</v>
      </c>
      <c r="K178" s="18" t="s">
        <v>13</v>
      </c>
      <c r="L178" s="18">
        <v>1</v>
      </c>
      <c r="M178" s="22" t="s">
        <v>34</v>
      </c>
    </row>
    <row r="179" spans="1:13" x14ac:dyDescent="0.35">
      <c r="A179" s="18">
        <v>52</v>
      </c>
      <c r="B179" s="22" t="s">
        <v>37</v>
      </c>
      <c r="C179" s="18" t="s">
        <v>19</v>
      </c>
      <c r="D179" s="18">
        <v>2</v>
      </c>
      <c r="E179" s="18" t="s">
        <v>21</v>
      </c>
      <c r="F179" s="18" t="s">
        <v>25</v>
      </c>
      <c r="G179" s="18" t="s">
        <v>24</v>
      </c>
      <c r="H179" s="18">
        <v>338</v>
      </c>
      <c r="I179" s="22" t="s">
        <v>46</v>
      </c>
      <c r="J179" s="18">
        <v>6</v>
      </c>
      <c r="K179" s="18" t="s">
        <v>11</v>
      </c>
      <c r="L179" s="18">
        <v>1</v>
      </c>
      <c r="M179" s="22" t="s">
        <v>34</v>
      </c>
    </row>
    <row r="180" spans="1:13" x14ac:dyDescent="0.35">
      <c r="A180" s="18">
        <v>31</v>
      </c>
      <c r="B180" s="22" t="s">
        <v>39</v>
      </c>
      <c r="C180" s="18" t="s">
        <v>19</v>
      </c>
      <c r="D180" s="18">
        <v>3</v>
      </c>
      <c r="E180" s="18" t="s">
        <v>23</v>
      </c>
      <c r="F180" s="18" t="s">
        <v>24</v>
      </c>
      <c r="G180" s="18" t="s">
        <v>10</v>
      </c>
      <c r="H180" s="18">
        <v>1963</v>
      </c>
      <c r="I180" s="22" t="s">
        <v>46</v>
      </c>
      <c r="J180" s="18">
        <v>12</v>
      </c>
      <c r="K180" s="18" t="s">
        <v>11</v>
      </c>
      <c r="L180" s="18">
        <v>1</v>
      </c>
      <c r="M180" s="22" t="s">
        <v>34</v>
      </c>
    </row>
    <row r="181" spans="1:13" x14ac:dyDescent="0.35">
      <c r="A181" s="18">
        <v>65</v>
      </c>
      <c r="B181" s="22" t="s">
        <v>37</v>
      </c>
      <c r="C181" s="18" t="s">
        <v>19</v>
      </c>
      <c r="D181" s="18">
        <v>2</v>
      </c>
      <c r="E181" s="18" t="s">
        <v>21</v>
      </c>
      <c r="F181" s="18" t="s">
        <v>24</v>
      </c>
      <c r="G181" s="18" t="s">
        <v>24</v>
      </c>
      <c r="H181" s="18">
        <v>571</v>
      </c>
      <c r="I181" s="22" t="s">
        <v>46</v>
      </c>
      <c r="J181" s="18">
        <v>21</v>
      </c>
      <c r="K181" s="18" t="s">
        <v>14</v>
      </c>
      <c r="L181" s="18">
        <v>1</v>
      </c>
      <c r="M181" s="22" t="s">
        <v>34</v>
      </c>
    </row>
    <row r="182" spans="1:13" x14ac:dyDescent="0.35">
      <c r="A182" s="18">
        <v>28</v>
      </c>
      <c r="B182" s="22" t="s">
        <v>38</v>
      </c>
      <c r="C182" s="18" t="s">
        <v>19</v>
      </c>
      <c r="D182" s="18">
        <v>2</v>
      </c>
      <c r="E182" s="18" t="s">
        <v>21</v>
      </c>
      <c r="F182" s="18" t="s">
        <v>24</v>
      </c>
      <c r="G182" s="18" t="s">
        <v>10</v>
      </c>
      <c r="H182" s="18">
        <v>9572</v>
      </c>
      <c r="I182" s="22" t="s">
        <v>42</v>
      </c>
      <c r="J182" s="18">
        <v>36</v>
      </c>
      <c r="K182" s="18" t="s">
        <v>15</v>
      </c>
      <c r="L182" s="18">
        <v>2</v>
      </c>
      <c r="M182" s="22" t="s">
        <v>45</v>
      </c>
    </row>
    <row r="183" spans="1:13" x14ac:dyDescent="0.35">
      <c r="A183" s="18">
        <v>30</v>
      </c>
      <c r="B183" s="22" t="s">
        <v>39</v>
      </c>
      <c r="C183" s="18" t="s">
        <v>19</v>
      </c>
      <c r="D183" s="18">
        <v>3</v>
      </c>
      <c r="E183" s="18" t="s">
        <v>21</v>
      </c>
      <c r="F183" s="18" t="s">
        <v>24</v>
      </c>
      <c r="G183" s="18" t="s">
        <v>27</v>
      </c>
      <c r="H183" s="18">
        <v>4455</v>
      </c>
      <c r="I183" s="22" t="s">
        <v>43</v>
      </c>
      <c r="J183" s="18">
        <v>36</v>
      </c>
      <c r="K183" s="18" t="s">
        <v>15</v>
      </c>
      <c r="L183" s="18">
        <v>2</v>
      </c>
      <c r="M183" s="22" t="s">
        <v>45</v>
      </c>
    </row>
    <row r="184" spans="1:13" x14ac:dyDescent="0.35">
      <c r="A184" s="18">
        <v>40</v>
      </c>
      <c r="B184" s="22" t="s">
        <v>39</v>
      </c>
      <c r="C184" s="18" t="s">
        <v>19</v>
      </c>
      <c r="D184" s="18">
        <v>1</v>
      </c>
      <c r="E184" s="18" t="s">
        <v>21</v>
      </c>
      <c r="F184" s="18" t="s">
        <v>10</v>
      </c>
      <c r="G184" s="18" t="s">
        <v>24</v>
      </c>
      <c r="H184" s="18">
        <v>1647</v>
      </c>
      <c r="I184" s="22" t="s">
        <v>46</v>
      </c>
      <c r="J184" s="18">
        <v>21</v>
      </c>
      <c r="K184" s="18" t="s">
        <v>14</v>
      </c>
      <c r="L184" s="18">
        <v>2</v>
      </c>
      <c r="M184" s="22" t="s">
        <v>45</v>
      </c>
    </row>
    <row r="185" spans="1:13" x14ac:dyDescent="0.35">
      <c r="A185" s="18">
        <v>50</v>
      </c>
      <c r="B185" s="22" t="s">
        <v>37</v>
      </c>
      <c r="C185" s="18" t="s">
        <v>19</v>
      </c>
      <c r="D185" s="18">
        <v>2</v>
      </c>
      <c r="E185" s="18" t="s">
        <v>21</v>
      </c>
      <c r="F185" s="18" t="s">
        <v>26</v>
      </c>
      <c r="G185" s="18" t="s">
        <v>10</v>
      </c>
      <c r="H185" s="18">
        <v>3777</v>
      </c>
      <c r="I185" s="22" t="s">
        <v>43</v>
      </c>
      <c r="J185" s="18">
        <v>24</v>
      </c>
      <c r="K185" s="18" t="s">
        <v>13</v>
      </c>
      <c r="L185" s="18">
        <v>1</v>
      </c>
      <c r="M185" s="22" t="s">
        <v>34</v>
      </c>
    </row>
    <row r="186" spans="1:13" x14ac:dyDescent="0.35">
      <c r="A186" s="18">
        <v>36</v>
      </c>
      <c r="B186" s="22" t="s">
        <v>39</v>
      </c>
      <c r="C186" s="18" t="s">
        <v>19</v>
      </c>
      <c r="D186" s="18">
        <v>2</v>
      </c>
      <c r="E186" s="18" t="s">
        <v>21</v>
      </c>
      <c r="F186" s="18" t="s">
        <v>24</v>
      </c>
      <c r="G186" s="18" t="s">
        <v>27</v>
      </c>
      <c r="H186" s="18">
        <v>884</v>
      </c>
      <c r="I186" s="22" t="s">
        <v>46</v>
      </c>
      <c r="J186" s="18">
        <v>18</v>
      </c>
      <c r="K186" s="18" t="s">
        <v>14</v>
      </c>
      <c r="L186" s="18">
        <v>2</v>
      </c>
      <c r="M186" s="22" t="s">
        <v>45</v>
      </c>
    </row>
    <row r="187" spans="1:13" x14ac:dyDescent="0.35">
      <c r="A187" s="18">
        <v>31</v>
      </c>
      <c r="B187" s="22" t="s">
        <v>39</v>
      </c>
      <c r="C187" s="18" t="s">
        <v>19</v>
      </c>
      <c r="D187" s="18">
        <v>2</v>
      </c>
      <c r="E187" s="18" t="s">
        <v>21</v>
      </c>
      <c r="F187" s="18" t="s">
        <v>24</v>
      </c>
      <c r="G187" s="18" t="s">
        <v>10</v>
      </c>
      <c r="H187" s="18">
        <v>1360</v>
      </c>
      <c r="I187" s="22" t="s">
        <v>46</v>
      </c>
      <c r="J187" s="18">
        <v>15</v>
      </c>
      <c r="K187" s="18" t="s">
        <v>11</v>
      </c>
      <c r="L187" s="18">
        <v>1</v>
      </c>
      <c r="M187" s="22" t="s">
        <v>34</v>
      </c>
    </row>
    <row r="188" spans="1:13" x14ac:dyDescent="0.35">
      <c r="A188" s="18">
        <v>74</v>
      </c>
      <c r="B188" s="22" t="s">
        <v>37</v>
      </c>
      <c r="C188" s="18" t="s">
        <v>20</v>
      </c>
      <c r="D188" s="18">
        <v>3</v>
      </c>
      <c r="E188" s="18" t="s">
        <v>22</v>
      </c>
      <c r="F188" s="18" t="s">
        <v>24</v>
      </c>
      <c r="G188" s="18" t="s">
        <v>27</v>
      </c>
      <c r="H188" s="18">
        <v>5129</v>
      </c>
      <c r="I188" s="22" t="s">
        <v>42</v>
      </c>
      <c r="J188" s="18">
        <v>9</v>
      </c>
      <c r="K188" s="18" t="s">
        <v>14</v>
      </c>
      <c r="L188" s="18">
        <v>2</v>
      </c>
      <c r="M188" s="22" t="s">
        <v>45</v>
      </c>
    </row>
    <row r="189" spans="1:13" x14ac:dyDescent="0.35">
      <c r="A189" s="18">
        <v>68</v>
      </c>
      <c r="B189" s="22" t="s">
        <v>37</v>
      </c>
      <c r="C189" s="18" t="s">
        <v>19</v>
      </c>
      <c r="D189" s="18">
        <v>0</v>
      </c>
      <c r="E189" s="18" t="s">
        <v>22</v>
      </c>
      <c r="F189" s="18" t="s">
        <v>24</v>
      </c>
      <c r="G189" s="18" t="s">
        <v>27</v>
      </c>
      <c r="H189" s="18">
        <v>1175</v>
      </c>
      <c r="I189" s="22" t="s">
        <v>46</v>
      </c>
      <c r="J189" s="18">
        <v>16</v>
      </c>
      <c r="K189" s="18" t="s">
        <v>14</v>
      </c>
      <c r="L189" s="18">
        <v>1</v>
      </c>
      <c r="M189" s="22" t="s">
        <v>34</v>
      </c>
    </row>
    <row r="190" spans="1:13" x14ac:dyDescent="0.35">
      <c r="A190" s="18">
        <v>20</v>
      </c>
      <c r="B190" s="22" t="s">
        <v>38</v>
      </c>
      <c r="C190" s="18" t="s">
        <v>19</v>
      </c>
      <c r="D190" s="18">
        <v>2</v>
      </c>
      <c r="E190" s="18" t="s">
        <v>21</v>
      </c>
      <c r="F190" s="18" t="s">
        <v>27</v>
      </c>
      <c r="G190" s="18" t="s">
        <v>24</v>
      </c>
      <c r="H190" s="18">
        <v>674</v>
      </c>
      <c r="I190" s="22" t="s">
        <v>46</v>
      </c>
      <c r="J190" s="18">
        <v>12</v>
      </c>
      <c r="K190" s="18" t="s">
        <v>11</v>
      </c>
      <c r="L190" s="18">
        <v>2</v>
      </c>
      <c r="M190" s="22" t="s">
        <v>45</v>
      </c>
    </row>
    <row r="191" spans="1:13" x14ac:dyDescent="0.35">
      <c r="A191" s="18">
        <v>33</v>
      </c>
      <c r="B191" s="22" t="s">
        <v>39</v>
      </c>
      <c r="C191" s="18" t="s">
        <v>20</v>
      </c>
      <c r="D191" s="18">
        <v>2</v>
      </c>
      <c r="E191" s="18" t="s">
        <v>21</v>
      </c>
      <c r="F191" s="18" t="s">
        <v>24</v>
      </c>
      <c r="G191" s="18" t="s">
        <v>27</v>
      </c>
      <c r="H191" s="18">
        <v>3244</v>
      </c>
      <c r="I191" s="22" t="s">
        <v>43</v>
      </c>
      <c r="J191" s="18">
        <v>18</v>
      </c>
      <c r="K191" s="18" t="s">
        <v>13</v>
      </c>
      <c r="L191" s="18">
        <v>1</v>
      </c>
      <c r="M191" s="22" t="s">
        <v>34</v>
      </c>
    </row>
    <row r="192" spans="1:13" x14ac:dyDescent="0.35">
      <c r="A192" s="18">
        <v>54</v>
      </c>
      <c r="B192" s="22" t="s">
        <v>37</v>
      </c>
      <c r="C192" s="18" t="s">
        <v>19</v>
      </c>
      <c r="D192" s="18">
        <v>3</v>
      </c>
      <c r="E192" s="18" t="s">
        <v>21</v>
      </c>
      <c r="F192" s="18" t="s">
        <v>26</v>
      </c>
      <c r="G192" s="18" t="s">
        <v>10</v>
      </c>
      <c r="H192" s="18">
        <v>4591</v>
      </c>
      <c r="I192" s="22" t="s">
        <v>43</v>
      </c>
      <c r="J192" s="18">
        <v>24</v>
      </c>
      <c r="K192" s="18" t="s">
        <v>15</v>
      </c>
      <c r="L192" s="18">
        <v>2</v>
      </c>
      <c r="M192" s="22" t="s">
        <v>45</v>
      </c>
    </row>
    <row r="193" spans="1:13" x14ac:dyDescent="0.35">
      <c r="A193" s="18">
        <v>34</v>
      </c>
      <c r="B193" s="22" t="s">
        <v>39</v>
      </c>
      <c r="C193" s="18" t="s">
        <v>19</v>
      </c>
      <c r="D193" s="18">
        <v>1</v>
      </c>
      <c r="E193" s="18" t="s">
        <v>22</v>
      </c>
      <c r="F193" s="18" t="s">
        <v>27</v>
      </c>
      <c r="G193" s="18" t="s">
        <v>27</v>
      </c>
      <c r="H193" s="18">
        <v>3844</v>
      </c>
      <c r="I193" s="22" t="s">
        <v>43</v>
      </c>
      <c r="J193" s="18">
        <v>48</v>
      </c>
      <c r="K193" s="18" t="s">
        <v>15</v>
      </c>
      <c r="L193" s="18">
        <v>2</v>
      </c>
      <c r="M193" s="22" t="s">
        <v>45</v>
      </c>
    </row>
    <row r="194" spans="1:13" x14ac:dyDescent="0.35">
      <c r="A194" s="18">
        <v>36</v>
      </c>
      <c r="B194" s="22" t="s">
        <v>39</v>
      </c>
      <c r="C194" s="18" t="s">
        <v>19</v>
      </c>
      <c r="D194" s="18">
        <v>2</v>
      </c>
      <c r="E194" s="18" t="s">
        <v>21</v>
      </c>
      <c r="F194" s="18" t="s">
        <v>24</v>
      </c>
      <c r="G194" s="18" t="s">
        <v>27</v>
      </c>
      <c r="H194" s="18">
        <v>3915</v>
      </c>
      <c r="I194" s="22" t="s">
        <v>43</v>
      </c>
      <c r="J194" s="18">
        <v>27</v>
      </c>
      <c r="K194" s="18" t="s">
        <v>15</v>
      </c>
      <c r="L194" s="18">
        <v>2</v>
      </c>
      <c r="M194" s="22" t="s">
        <v>45</v>
      </c>
    </row>
    <row r="195" spans="1:13" x14ac:dyDescent="0.35">
      <c r="A195" s="18">
        <v>29</v>
      </c>
      <c r="B195" s="22" t="s">
        <v>38</v>
      </c>
      <c r="C195" s="18" t="s">
        <v>19</v>
      </c>
      <c r="D195" s="18">
        <v>2</v>
      </c>
      <c r="E195" s="18" t="s">
        <v>23</v>
      </c>
      <c r="F195" s="18" t="s">
        <v>24</v>
      </c>
      <c r="G195" s="18" t="s">
        <v>10</v>
      </c>
      <c r="H195" s="18">
        <v>2108</v>
      </c>
      <c r="I195" s="22" t="s">
        <v>43</v>
      </c>
      <c r="J195" s="18">
        <v>6</v>
      </c>
      <c r="K195" s="18" t="s">
        <v>11</v>
      </c>
      <c r="L195" s="18">
        <v>1</v>
      </c>
      <c r="M195" s="22" t="s">
        <v>34</v>
      </c>
    </row>
    <row r="196" spans="1:13" x14ac:dyDescent="0.35">
      <c r="A196" s="18">
        <v>21</v>
      </c>
      <c r="B196" s="22" t="s">
        <v>38</v>
      </c>
      <c r="C196" s="18" t="s">
        <v>19</v>
      </c>
      <c r="D196" s="18">
        <v>2</v>
      </c>
      <c r="E196" s="18" t="s">
        <v>23</v>
      </c>
      <c r="F196" s="18" t="s">
        <v>27</v>
      </c>
      <c r="G196" s="18" t="s">
        <v>27</v>
      </c>
      <c r="H196" s="18">
        <v>3031</v>
      </c>
      <c r="I196" s="22" t="s">
        <v>43</v>
      </c>
      <c r="J196" s="18">
        <v>45</v>
      </c>
      <c r="K196" s="18" t="s">
        <v>11</v>
      </c>
      <c r="L196" s="18">
        <v>2</v>
      </c>
      <c r="M196" s="22" t="s">
        <v>45</v>
      </c>
    </row>
    <row r="197" spans="1:13" x14ac:dyDescent="0.35">
      <c r="A197" s="18">
        <v>34</v>
      </c>
      <c r="B197" s="22" t="s">
        <v>39</v>
      </c>
      <c r="C197" s="18" t="s">
        <v>20</v>
      </c>
      <c r="D197" s="18">
        <v>3</v>
      </c>
      <c r="E197" s="18" t="s">
        <v>21</v>
      </c>
      <c r="F197" s="18" t="s">
        <v>24</v>
      </c>
      <c r="G197" s="18" t="s">
        <v>27</v>
      </c>
      <c r="H197" s="18">
        <v>1501</v>
      </c>
      <c r="I197" s="22" t="s">
        <v>46</v>
      </c>
      <c r="J197" s="18">
        <v>9</v>
      </c>
      <c r="K197" s="18" t="s">
        <v>12</v>
      </c>
      <c r="L197" s="18">
        <v>2</v>
      </c>
      <c r="M197" s="22" t="s">
        <v>45</v>
      </c>
    </row>
    <row r="198" spans="1:13" x14ac:dyDescent="0.35">
      <c r="A198" s="18">
        <v>28</v>
      </c>
      <c r="B198" s="22" t="s">
        <v>38</v>
      </c>
      <c r="C198" s="18" t="s">
        <v>20</v>
      </c>
      <c r="D198" s="18">
        <v>2</v>
      </c>
      <c r="E198" s="18" t="s">
        <v>21</v>
      </c>
      <c r="F198" s="18" t="s">
        <v>24</v>
      </c>
      <c r="G198" s="18" t="s">
        <v>10</v>
      </c>
      <c r="H198" s="18">
        <v>1382</v>
      </c>
      <c r="I198" s="22" t="s">
        <v>46</v>
      </c>
      <c r="J198" s="18">
        <v>6</v>
      </c>
      <c r="K198" s="18" t="s">
        <v>11</v>
      </c>
      <c r="L198" s="18">
        <v>1</v>
      </c>
      <c r="M198" s="22" t="s">
        <v>34</v>
      </c>
    </row>
    <row r="199" spans="1:13" x14ac:dyDescent="0.35">
      <c r="A199" s="18">
        <v>27</v>
      </c>
      <c r="B199" s="22" t="s">
        <v>38</v>
      </c>
      <c r="C199" s="18" t="s">
        <v>20</v>
      </c>
      <c r="D199" s="18">
        <v>2</v>
      </c>
      <c r="E199" s="18" t="s">
        <v>23</v>
      </c>
      <c r="F199" s="18" t="s">
        <v>27</v>
      </c>
      <c r="G199" s="18" t="s">
        <v>27</v>
      </c>
      <c r="H199" s="18">
        <v>951</v>
      </c>
      <c r="I199" s="22" t="s">
        <v>46</v>
      </c>
      <c r="J199" s="18">
        <v>12</v>
      </c>
      <c r="K199" s="18" t="s">
        <v>13</v>
      </c>
      <c r="L199" s="18">
        <v>2</v>
      </c>
      <c r="M199" s="22" t="s">
        <v>45</v>
      </c>
    </row>
    <row r="200" spans="1:13" x14ac:dyDescent="0.35">
      <c r="A200" s="18">
        <v>36</v>
      </c>
      <c r="B200" s="22" t="s">
        <v>39</v>
      </c>
      <c r="C200" s="18" t="s">
        <v>19</v>
      </c>
      <c r="D200" s="18">
        <v>2</v>
      </c>
      <c r="E200" s="18" t="s">
        <v>22</v>
      </c>
      <c r="F200" s="18" t="s">
        <v>10</v>
      </c>
      <c r="G200" s="18" t="s">
        <v>27</v>
      </c>
      <c r="H200" s="18">
        <v>2760</v>
      </c>
      <c r="I200" s="22" t="s">
        <v>43</v>
      </c>
      <c r="J200" s="18">
        <v>24</v>
      </c>
      <c r="K200" s="18" t="s">
        <v>14</v>
      </c>
      <c r="L200" s="18">
        <v>1</v>
      </c>
      <c r="M200" s="22" t="s">
        <v>34</v>
      </c>
    </row>
    <row r="201" spans="1:13" x14ac:dyDescent="0.35">
      <c r="A201" s="18">
        <v>40</v>
      </c>
      <c r="B201" s="22" t="s">
        <v>39</v>
      </c>
      <c r="C201" s="18" t="s">
        <v>19</v>
      </c>
      <c r="D201" s="18">
        <v>3</v>
      </c>
      <c r="E201" s="18" t="s">
        <v>21</v>
      </c>
      <c r="F201" s="18" t="s">
        <v>24</v>
      </c>
      <c r="G201" s="18" t="s">
        <v>27</v>
      </c>
      <c r="H201" s="18">
        <v>4297</v>
      </c>
      <c r="I201" s="22" t="s">
        <v>43</v>
      </c>
      <c r="J201" s="18">
        <v>18</v>
      </c>
      <c r="K201" s="18" t="s">
        <v>13</v>
      </c>
      <c r="L201" s="18">
        <v>2</v>
      </c>
      <c r="M201" s="22" t="s">
        <v>45</v>
      </c>
    </row>
    <row r="202" spans="1:13" x14ac:dyDescent="0.35">
      <c r="A202" s="18">
        <v>52</v>
      </c>
      <c r="B202" s="22" t="s">
        <v>37</v>
      </c>
      <c r="C202" s="18" t="s">
        <v>19</v>
      </c>
      <c r="D202" s="18">
        <v>2</v>
      </c>
      <c r="E202" s="18" t="s">
        <v>21</v>
      </c>
      <c r="F202" s="18" t="s">
        <v>25</v>
      </c>
      <c r="G202" s="18" t="s">
        <v>10</v>
      </c>
      <c r="H202" s="18">
        <v>936</v>
      </c>
      <c r="I202" s="22" t="s">
        <v>46</v>
      </c>
      <c r="J202" s="18">
        <v>9</v>
      </c>
      <c r="K202" s="18" t="s">
        <v>12</v>
      </c>
      <c r="L202" s="18">
        <v>1</v>
      </c>
      <c r="M202" s="22" t="s">
        <v>34</v>
      </c>
    </row>
    <row r="203" spans="1:13" x14ac:dyDescent="0.35">
      <c r="A203" s="18">
        <v>27</v>
      </c>
      <c r="B203" s="22" t="s">
        <v>38</v>
      </c>
      <c r="C203" s="18" t="s">
        <v>19</v>
      </c>
      <c r="D203" s="18">
        <v>1</v>
      </c>
      <c r="E203" s="18" t="s">
        <v>21</v>
      </c>
      <c r="F203" s="18" t="s">
        <v>24</v>
      </c>
      <c r="G203" s="18" t="s">
        <v>24</v>
      </c>
      <c r="H203" s="18">
        <v>1168</v>
      </c>
      <c r="I203" s="22" t="s">
        <v>46</v>
      </c>
      <c r="J203" s="18">
        <v>12</v>
      </c>
      <c r="K203" s="18" t="s">
        <v>14</v>
      </c>
      <c r="L203" s="18">
        <v>1</v>
      </c>
      <c r="M203" s="22" t="s">
        <v>34</v>
      </c>
    </row>
    <row r="204" spans="1:13" x14ac:dyDescent="0.35">
      <c r="A204" s="18">
        <v>26</v>
      </c>
      <c r="B204" s="22" t="s">
        <v>38</v>
      </c>
      <c r="C204" s="18" t="s">
        <v>19</v>
      </c>
      <c r="D204" s="18">
        <v>2</v>
      </c>
      <c r="E204" s="18" t="s">
        <v>21</v>
      </c>
      <c r="F204" s="18" t="s">
        <v>24</v>
      </c>
      <c r="G204" s="18" t="s">
        <v>10</v>
      </c>
      <c r="H204" s="18">
        <v>5117</v>
      </c>
      <c r="I204" s="22" t="s">
        <v>42</v>
      </c>
      <c r="J204" s="18">
        <v>27</v>
      </c>
      <c r="K204" s="18" t="s">
        <v>15</v>
      </c>
      <c r="L204" s="18">
        <v>1</v>
      </c>
      <c r="M204" s="22" t="s">
        <v>34</v>
      </c>
    </row>
    <row r="205" spans="1:13" x14ac:dyDescent="0.35">
      <c r="A205" s="18">
        <v>21</v>
      </c>
      <c r="B205" s="22" t="s">
        <v>38</v>
      </c>
      <c r="C205" s="18" t="s">
        <v>19</v>
      </c>
      <c r="D205" s="18">
        <v>2</v>
      </c>
      <c r="E205" s="18" t="s">
        <v>23</v>
      </c>
      <c r="F205" s="18" t="s">
        <v>24</v>
      </c>
      <c r="G205" s="18" t="s">
        <v>24</v>
      </c>
      <c r="H205" s="18">
        <v>902</v>
      </c>
      <c r="I205" s="22" t="s">
        <v>46</v>
      </c>
      <c r="J205" s="18">
        <v>12</v>
      </c>
      <c r="K205" s="18" t="s">
        <v>12</v>
      </c>
      <c r="L205" s="18">
        <v>2</v>
      </c>
      <c r="M205" s="22" t="s">
        <v>45</v>
      </c>
    </row>
    <row r="206" spans="1:13" x14ac:dyDescent="0.35">
      <c r="A206" s="18">
        <v>38</v>
      </c>
      <c r="B206" s="22" t="s">
        <v>39</v>
      </c>
      <c r="C206" s="18" t="s">
        <v>19</v>
      </c>
      <c r="D206" s="18">
        <v>1</v>
      </c>
      <c r="E206" s="18" t="s">
        <v>21</v>
      </c>
      <c r="F206" s="18" t="s">
        <v>24</v>
      </c>
      <c r="G206" s="18" t="s">
        <v>10</v>
      </c>
      <c r="H206" s="18">
        <v>1495</v>
      </c>
      <c r="I206" s="22" t="s">
        <v>46</v>
      </c>
      <c r="J206" s="18">
        <v>12</v>
      </c>
      <c r="K206" s="18" t="s">
        <v>14</v>
      </c>
      <c r="L206" s="18">
        <v>1</v>
      </c>
      <c r="M206" s="22" t="s">
        <v>34</v>
      </c>
    </row>
    <row r="207" spans="1:13" x14ac:dyDescent="0.35">
      <c r="A207" s="18">
        <v>38</v>
      </c>
      <c r="B207" s="22" t="s">
        <v>39</v>
      </c>
      <c r="C207" s="18" t="s">
        <v>19</v>
      </c>
      <c r="D207" s="18">
        <v>3</v>
      </c>
      <c r="E207" s="18" t="s">
        <v>22</v>
      </c>
      <c r="F207" s="18" t="s">
        <v>24</v>
      </c>
      <c r="G207" s="18" t="s">
        <v>24</v>
      </c>
      <c r="H207" s="18">
        <v>10623</v>
      </c>
      <c r="I207" s="22" t="s">
        <v>42</v>
      </c>
      <c r="J207" s="18">
        <v>30</v>
      </c>
      <c r="K207" s="18" t="s">
        <v>14</v>
      </c>
      <c r="L207" s="18">
        <v>1</v>
      </c>
      <c r="M207" s="22" t="s">
        <v>34</v>
      </c>
    </row>
    <row r="208" spans="1:13" x14ac:dyDescent="0.35">
      <c r="A208" s="18">
        <v>43</v>
      </c>
      <c r="B208" s="22" t="s">
        <v>39</v>
      </c>
      <c r="C208" s="18" t="s">
        <v>19</v>
      </c>
      <c r="D208" s="18">
        <v>2</v>
      </c>
      <c r="E208" s="18" t="s">
        <v>21</v>
      </c>
      <c r="F208" s="18" t="s">
        <v>24</v>
      </c>
      <c r="G208" s="18" t="s">
        <v>10</v>
      </c>
      <c r="H208" s="18">
        <v>1935</v>
      </c>
      <c r="I208" s="22" t="s">
        <v>46</v>
      </c>
      <c r="J208" s="18">
        <v>12</v>
      </c>
      <c r="K208" s="18" t="s">
        <v>13</v>
      </c>
      <c r="L208" s="18">
        <v>1</v>
      </c>
      <c r="M208" s="22" t="s">
        <v>34</v>
      </c>
    </row>
    <row r="209" spans="1:13" x14ac:dyDescent="0.35">
      <c r="A209" s="18">
        <v>26</v>
      </c>
      <c r="B209" s="22" t="s">
        <v>38</v>
      </c>
      <c r="C209" s="18" t="s">
        <v>19</v>
      </c>
      <c r="D209" s="18">
        <v>2</v>
      </c>
      <c r="E209" s="18" t="s">
        <v>21</v>
      </c>
      <c r="F209" s="18" t="s">
        <v>24</v>
      </c>
      <c r="G209" s="18" t="s">
        <v>27</v>
      </c>
      <c r="H209" s="18">
        <v>1424</v>
      </c>
      <c r="I209" s="22" t="s">
        <v>46</v>
      </c>
      <c r="J209" s="18">
        <v>12</v>
      </c>
      <c r="K209" s="18" t="s">
        <v>16</v>
      </c>
      <c r="L209" s="18">
        <v>1</v>
      </c>
      <c r="M209" s="22" t="s">
        <v>34</v>
      </c>
    </row>
    <row r="210" spans="1:13" x14ac:dyDescent="0.35">
      <c r="A210" s="18">
        <v>21</v>
      </c>
      <c r="B210" s="22" t="s">
        <v>38</v>
      </c>
      <c r="C210" s="18" t="s">
        <v>19</v>
      </c>
      <c r="D210" s="18">
        <v>1</v>
      </c>
      <c r="E210" s="18" t="s">
        <v>21</v>
      </c>
      <c r="F210" s="18" t="s">
        <v>24</v>
      </c>
      <c r="G210" s="18" t="s">
        <v>24</v>
      </c>
      <c r="H210" s="18">
        <v>6568</v>
      </c>
      <c r="I210" s="22" t="s">
        <v>42</v>
      </c>
      <c r="J210" s="18">
        <v>24</v>
      </c>
      <c r="K210" s="18" t="s">
        <v>15</v>
      </c>
      <c r="L210" s="18">
        <v>1</v>
      </c>
      <c r="M210" s="22" t="s">
        <v>34</v>
      </c>
    </row>
    <row r="211" spans="1:13" x14ac:dyDescent="0.35">
      <c r="A211" s="18">
        <v>55</v>
      </c>
      <c r="B211" s="22" t="s">
        <v>37</v>
      </c>
      <c r="C211" s="18" t="s">
        <v>19</v>
      </c>
      <c r="D211" s="18">
        <v>2</v>
      </c>
      <c r="E211" s="18" t="s">
        <v>21</v>
      </c>
      <c r="F211" s="18" t="s">
        <v>26</v>
      </c>
      <c r="G211" s="18" t="s">
        <v>10</v>
      </c>
      <c r="H211" s="18">
        <v>1413</v>
      </c>
      <c r="I211" s="22" t="s">
        <v>46</v>
      </c>
      <c r="J211" s="18">
        <v>12</v>
      </c>
      <c r="K211" s="18" t="s">
        <v>14</v>
      </c>
      <c r="L211" s="18">
        <v>1</v>
      </c>
      <c r="M211" s="22" t="s">
        <v>34</v>
      </c>
    </row>
    <row r="212" spans="1:13" x14ac:dyDescent="0.35">
      <c r="A212" s="18">
        <v>33</v>
      </c>
      <c r="B212" s="22" t="s">
        <v>39</v>
      </c>
      <c r="C212" s="18" t="s">
        <v>19</v>
      </c>
      <c r="D212" s="18">
        <v>2</v>
      </c>
      <c r="E212" s="18" t="s">
        <v>21</v>
      </c>
      <c r="F212" s="18" t="s">
        <v>10</v>
      </c>
      <c r="G212" s="18" t="s">
        <v>10</v>
      </c>
      <c r="H212" s="18">
        <v>3074</v>
      </c>
      <c r="I212" s="22" t="s">
        <v>43</v>
      </c>
      <c r="J212" s="18">
        <v>9</v>
      </c>
      <c r="K212" s="18" t="s">
        <v>11</v>
      </c>
      <c r="L212" s="18">
        <v>1</v>
      </c>
      <c r="M212" s="22" t="s">
        <v>34</v>
      </c>
    </row>
    <row r="213" spans="1:13" x14ac:dyDescent="0.35">
      <c r="A213" s="18">
        <v>45</v>
      </c>
      <c r="B213" s="22" t="s">
        <v>39</v>
      </c>
      <c r="C213" s="18" t="s">
        <v>20</v>
      </c>
      <c r="D213" s="18">
        <v>1</v>
      </c>
      <c r="E213" s="18" t="s">
        <v>21</v>
      </c>
      <c r="F213" s="18" t="s">
        <v>10</v>
      </c>
      <c r="G213" s="18" t="s">
        <v>10</v>
      </c>
      <c r="H213" s="18">
        <v>3835</v>
      </c>
      <c r="I213" s="22" t="s">
        <v>43</v>
      </c>
      <c r="J213" s="18">
        <v>36</v>
      </c>
      <c r="K213" s="18" t="s">
        <v>11</v>
      </c>
      <c r="L213" s="18">
        <v>1</v>
      </c>
      <c r="M213" s="22" t="s">
        <v>34</v>
      </c>
    </row>
    <row r="214" spans="1:13" x14ac:dyDescent="0.35">
      <c r="A214" s="18">
        <v>50</v>
      </c>
      <c r="B214" s="22" t="s">
        <v>37</v>
      </c>
      <c r="C214" s="18" t="s">
        <v>19</v>
      </c>
      <c r="D214" s="18">
        <v>2</v>
      </c>
      <c r="E214" s="18" t="s">
        <v>21</v>
      </c>
      <c r="F214" s="18" t="s">
        <v>24</v>
      </c>
      <c r="G214" s="18" t="s">
        <v>24</v>
      </c>
      <c r="H214" s="18">
        <v>5293</v>
      </c>
      <c r="I214" s="22" t="s">
        <v>42</v>
      </c>
      <c r="J214" s="18">
        <v>27</v>
      </c>
      <c r="K214" s="18" t="s">
        <v>15</v>
      </c>
      <c r="L214" s="18">
        <v>2</v>
      </c>
      <c r="M214" s="22" t="s">
        <v>45</v>
      </c>
    </row>
    <row r="215" spans="1:13" x14ac:dyDescent="0.35">
      <c r="A215" s="18">
        <v>66</v>
      </c>
      <c r="B215" s="22" t="s">
        <v>37</v>
      </c>
      <c r="C215" s="18" t="s">
        <v>19</v>
      </c>
      <c r="D215" s="18">
        <v>3</v>
      </c>
      <c r="E215" s="18" t="s">
        <v>21</v>
      </c>
      <c r="F215" s="18" t="s">
        <v>24</v>
      </c>
      <c r="G215" s="18" t="s">
        <v>26</v>
      </c>
      <c r="H215" s="18">
        <v>1908</v>
      </c>
      <c r="I215" s="22" t="s">
        <v>46</v>
      </c>
      <c r="J215" s="18">
        <v>30</v>
      </c>
      <c r="K215" s="18" t="s">
        <v>15</v>
      </c>
      <c r="L215" s="18">
        <v>2</v>
      </c>
      <c r="M215" s="22" t="s">
        <v>45</v>
      </c>
    </row>
    <row r="216" spans="1:13" x14ac:dyDescent="0.35">
      <c r="A216" s="18">
        <v>51</v>
      </c>
      <c r="B216" s="22" t="s">
        <v>37</v>
      </c>
      <c r="C216" s="18" t="s">
        <v>19</v>
      </c>
      <c r="D216" s="18">
        <v>2</v>
      </c>
      <c r="E216" s="18" t="s">
        <v>21</v>
      </c>
      <c r="F216" s="18" t="s">
        <v>10</v>
      </c>
      <c r="G216" s="18" t="s">
        <v>10</v>
      </c>
      <c r="H216" s="18">
        <v>3342</v>
      </c>
      <c r="I216" s="22" t="s">
        <v>43</v>
      </c>
      <c r="J216" s="18">
        <v>36</v>
      </c>
      <c r="K216" s="18" t="s">
        <v>11</v>
      </c>
      <c r="L216" s="18">
        <v>1</v>
      </c>
      <c r="M216" s="22" t="s">
        <v>34</v>
      </c>
    </row>
    <row r="217" spans="1:13" x14ac:dyDescent="0.35">
      <c r="A217" s="18">
        <v>39</v>
      </c>
      <c r="B217" s="22" t="s">
        <v>39</v>
      </c>
      <c r="C217" s="18" t="s">
        <v>20</v>
      </c>
      <c r="D217" s="18">
        <v>1</v>
      </c>
      <c r="E217" s="18" t="s">
        <v>21</v>
      </c>
      <c r="F217" s="18" t="s">
        <v>10</v>
      </c>
      <c r="G217" s="18" t="s">
        <v>27</v>
      </c>
      <c r="H217" s="18">
        <v>932</v>
      </c>
      <c r="I217" s="22" t="s">
        <v>46</v>
      </c>
      <c r="J217" s="18">
        <v>6</v>
      </c>
      <c r="K217" s="18" t="s">
        <v>12</v>
      </c>
      <c r="L217" s="18">
        <v>1</v>
      </c>
      <c r="M217" s="22" t="s">
        <v>34</v>
      </c>
    </row>
    <row r="218" spans="1:13" x14ac:dyDescent="0.35">
      <c r="A218" s="18">
        <v>31</v>
      </c>
      <c r="B218" s="22" t="s">
        <v>39</v>
      </c>
      <c r="C218" s="18" t="s">
        <v>19</v>
      </c>
      <c r="D218" s="18">
        <v>2</v>
      </c>
      <c r="E218" s="18" t="s">
        <v>21</v>
      </c>
      <c r="F218" s="18" t="s">
        <v>24</v>
      </c>
      <c r="G218" s="18" t="s">
        <v>24</v>
      </c>
      <c r="H218" s="18">
        <v>3104</v>
      </c>
      <c r="I218" s="22" t="s">
        <v>43</v>
      </c>
      <c r="J218" s="18">
        <v>18</v>
      </c>
      <c r="K218" s="18" t="s">
        <v>15</v>
      </c>
      <c r="L218" s="18">
        <v>1</v>
      </c>
      <c r="M218" s="22" t="s">
        <v>34</v>
      </c>
    </row>
    <row r="219" spans="1:13" x14ac:dyDescent="0.35">
      <c r="A219" s="18">
        <v>23</v>
      </c>
      <c r="B219" s="22" t="s">
        <v>38</v>
      </c>
      <c r="C219" s="18" t="s">
        <v>19</v>
      </c>
      <c r="D219" s="18">
        <v>2</v>
      </c>
      <c r="E219" s="18" t="s">
        <v>21</v>
      </c>
      <c r="F219" s="18" t="s">
        <v>24</v>
      </c>
      <c r="G219" s="18" t="s">
        <v>26</v>
      </c>
      <c r="H219" s="18">
        <v>3913</v>
      </c>
      <c r="I219" s="22" t="s">
        <v>43</v>
      </c>
      <c r="J219" s="18">
        <v>36</v>
      </c>
      <c r="K219" s="18" t="s">
        <v>11</v>
      </c>
      <c r="L219" s="18">
        <v>1</v>
      </c>
      <c r="M219" s="22" t="s">
        <v>34</v>
      </c>
    </row>
    <row r="220" spans="1:13" x14ac:dyDescent="0.35">
      <c r="A220" s="18">
        <v>24</v>
      </c>
      <c r="B220" s="22" t="s">
        <v>38</v>
      </c>
      <c r="C220" s="18" t="s">
        <v>19</v>
      </c>
      <c r="D220" s="18">
        <v>1</v>
      </c>
      <c r="E220" s="18" t="s">
        <v>23</v>
      </c>
      <c r="F220" s="18" t="s">
        <v>24</v>
      </c>
      <c r="G220" s="18" t="s">
        <v>24</v>
      </c>
      <c r="H220" s="18">
        <v>3021</v>
      </c>
      <c r="I220" s="22" t="s">
        <v>43</v>
      </c>
      <c r="J220" s="18">
        <v>24</v>
      </c>
      <c r="K220" s="18" t="s">
        <v>13</v>
      </c>
      <c r="L220" s="18">
        <v>1</v>
      </c>
      <c r="M220" s="22" t="s">
        <v>34</v>
      </c>
    </row>
    <row r="221" spans="1:13" x14ac:dyDescent="0.35">
      <c r="A221" s="18">
        <v>64</v>
      </c>
      <c r="B221" s="22" t="s">
        <v>37</v>
      </c>
      <c r="C221" s="18" t="s">
        <v>20</v>
      </c>
      <c r="D221" s="18">
        <v>2</v>
      </c>
      <c r="E221" s="18" t="s">
        <v>21</v>
      </c>
      <c r="F221" s="18" t="s">
        <v>24</v>
      </c>
      <c r="G221" s="18" t="s">
        <v>10</v>
      </c>
      <c r="H221" s="18">
        <v>1364</v>
      </c>
      <c r="I221" s="22" t="s">
        <v>46</v>
      </c>
      <c r="J221" s="18">
        <v>10</v>
      </c>
      <c r="K221" s="18" t="s">
        <v>14</v>
      </c>
      <c r="L221" s="18">
        <v>1</v>
      </c>
      <c r="M221" s="22" t="s">
        <v>34</v>
      </c>
    </row>
    <row r="222" spans="1:13" x14ac:dyDescent="0.35">
      <c r="A222" s="18">
        <v>26</v>
      </c>
      <c r="B222" s="22" t="s">
        <v>38</v>
      </c>
      <c r="C222" s="18" t="s">
        <v>19</v>
      </c>
      <c r="D222" s="18">
        <v>1</v>
      </c>
      <c r="E222" s="18" t="s">
        <v>21</v>
      </c>
      <c r="F222" s="18" t="s">
        <v>24</v>
      </c>
      <c r="G222" s="18" t="s">
        <v>27</v>
      </c>
      <c r="H222" s="18">
        <v>625</v>
      </c>
      <c r="I222" s="22" t="s">
        <v>46</v>
      </c>
      <c r="J222" s="18">
        <v>12</v>
      </c>
      <c r="K222" s="18" t="s">
        <v>11</v>
      </c>
      <c r="L222" s="18">
        <v>1</v>
      </c>
      <c r="M222" s="22" t="s">
        <v>34</v>
      </c>
    </row>
    <row r="223" spans="1:13" x14ac:dyDescent="0.35">
      <c r="A223" s="18">
        <v>23</v>
      </c>
      <c r="B223" s="22" t="s">
        <v>38</v>
      </c>
      <c r="C223" s="18" t="s">
        <v>20</v>
      </c>
      <c r="D223" s="18">
        <v>2</v>
      </c>
      <c r="E223" s="18" t="s">
        <v>23</v>
      </c>
      <c r="F223" s="18" t="s">
        <v>10</v>
      </c>
      <c r="G223" s="18" t="s">
        <v>24</v>
      </c>
      <c r="H223" s="18">
        <v>1200</v>
      </c>
      <c r="I223" s="22" t="s">
        <v>46</v>
      </c>
      <c r="J223" s="18">
        <v>12</v>
      </c>
      <c r="K223" s="18" t="s">
        <v>12</v>
      </c>
      <c r="L223" s="18">
        <v>1</v>
      </c>
      <c r="M223" s="22" t="s">
        <v>34</v>
      </c>
    </row>
    <row r="224" spans="1:13" x14ac:dyDescent="0.35">
      <c r="A224" s="18">
        <v>30</v>
      </c>
      <c r="B224" s="22" t="s">
        <v>39</v>
      </c>
      <c r="C224" s="18" t="s">
        <v>19</v>
      </c>
      <c r="D224" s="18">
        <v>2</v>
      </c>
      <c r="E224" s="18" t="s">
        <v>21</v>
      </c>
      <c r="F224" s="18" t="s">
        <v>24</v>
      </c>
      <c r="G224" s="18" t="s">
        <v>10</v>
      </c>
      <c r="H224" s="18">
        <v>707</v>
      </c>
      <c r="I224" s="22" t="s">
        <v>46</v>
      </c>
      <c r="J224" s="18">
        <v>12</v>
      </c>
      <c r="K224" s="18" t="s">
        <v>11</v>
      </c>
      <c r="L224" s="18">
        <v>1</v>
      </c>
      <c r="M224" s="22" t="s">
        <v>34</v>
      </c>
    </row>
    <row r="225" spans="1:13" x14ac:dyDescent="0.35">
      <c r="A225" s="18">
        <v>32</v>
      </c>
      <c r="B225" s="22" t="s">
        <v>39</v>
      </c>
      <c r="C225" s="18" t="s">
        <v>19</v>
      </c>
      <c r="D225" s="18">
        <v>2</v>
      </c>
      <c r="E225" s="18" t="s">
        <v>21</v>
      </c>
      <c r="F225" s="18" t="s">
        <v>10</v>
      </c>
      <c r="G225" s="18" t="s">
        <v>10</v>
      </c>
      <c r="H225" s="18">
        <v>2978</v>
      </c>
      <c r="I225" s="22" t="s">
        <v>43</v>
      </c>
      <c r="J225" s="18">
        <v>24</v>
      </c>
      <c r="K225" s="18" t="s">
        <v>15</v>
      </c>
      <c r="L225" s="18">
        <v>1</v>
      </c>
      <c r="M225" s="22" t="s">
        <v>34</v>
      </c>
    </row>
    <row r="226" spans="1:13" x14ac:dyDescent="0.35">
      <c r="A226" s="18">
        <v>30</v>
      </c>
      <c r="B226" s="22" t="s">
        <v>39</v>
      </c>
      <c r="C226" s="18" t="s">
        <v>19</v>
      </c>
      <c r="D226" s="18">
        <v>2</v>
      </c>
      <c r="E226" s="18" t="s">
        <v>21</v>
      </c>
      <c r="F226" s="18" t="s">
        <v>24</v>
      </c>
      <c r="G226" s="18" t="s">
        <v>10</v>
      </c>
      <c r="H226" s="18">
        <v>4657</v>
      </c>
      <c r="I226" s="22" t="s">
        <v>43</v>
      </c>
      <c r="J226" s="18">
        <v>15</v>
      </c>
      <c r="K226" s="18" t="s">
        <v>14</v>
      </c>
      <c r="L226" s="18">
        <v>1</v>
      </c>
      <c r="M226" s="22" t="s">
        <v>34</v>
      </c>
    </row>
    <row r="227" spans="1:13" x14ac:dyDescent="0.35">
      <c r="A227" s="18">
        <v>27</v>
      </c>
      <c r="B227" s="22" t="s">
        <v>38</v>
      </c>
      <c r="C227" s="18" t="s">
        <v>19</v>
      </c>
      <c r="D227" s="18">
        <v>2</v>
      </c>
      <c r="E227" s="18" t="s">
        <v>21</v>
      </c>
      <c r="F227" s="18" t="s">
        <v>24</v>
      </c>
      <c r="G227" s="18" t="s">
        <v>10</v>
      </c>
      <c r="H227" s="18">
        <v>2613</v>
      </c>
      <c r="I227" s="22" t="s">
        <v>43</v>
      </c>
      <c r="J227" s="18">
        <v>36</v>
      </c>
      <c r="K227" s="18" t="s">
        <v>17</v>
      </c>
      <c r="L227" s="18">
        <v>1</v>
      </c>
      <c r="M227" s="22" t="s">
        <v>34</v>
      </c>
    </row>
    <row r="228" spans="1:13" x14ac:dyDescent="0.35">
      <c r="A228" s="18">
        <v>27</v>
      </c>
      <c r="B228" s="22" t="s">
        <v>38</v>
      </c>
      <c r="C228" s="18" t="s">
        <v>19</v>
      </c>
      <c r="D228" s="18">
        <v>2</v>
      </c>
      <c r="E228" s="18" t="s">
        <v>21</v>
      </c>
      <c r="F228" s="18" t="s">
        <v>26</v>
      </c>
      <c r="G228" s="18" t="s">
        <v>27</v>
      </c>
      <c r="H228" s="18">
        <v>10961</v>
      </c>
      <c r="I228" s="22" t="s">
        <v>42</v>
      </c>
      <c r="J228" s="18">
        <v>48</v>
      </c>
      <c r="K228" s="18" t="s">
        <v>11</v>
      </c>
      <c r="L228" s="18">
        <v>2</v>
      </c>
      <c r="M228" s="22" t="s">
        <v>45</v>
      </c>
    </row>
    <row r="229" spans="1:13" x14ac:dyDescent="0.35">
      <c r="A229" s="18">
        <v>53</v>
      </c>
      <c r="B229" s="22" t="s">
        <v>37</v>
      </c>
      <c r="C229" s="18" t="s">
        <v>19</v>
      </c>
      <c r="D229" s="18">
        <v>3</v>
      </c>
      <c r="E229" s="18" t="s">
        <v>22</v>
      </c>
      <c r="F229" s="18" t="s">
        <v>24</v>
      </c>
      <c r="G229" s="18" t="s">
        <v>24</v>
      </c>
      <c r="H229" s="18">
        <v>7865</v>
      </c>
      <c r="I229" s="22" t="s">
        <v>42</v>
      </c>
      <c r="J229" s="18">
        <v>12</v>
      </c>
      <c r="K229" s="18" t="s">
        <v>13</v>
      </c>
      <c r="L229" s="18">
        <v>2</v>
      </c>
      <c r="M229" s="22" t="s">
        <v>45</v>
      </c>
    </row>
    <row r="230" spans="1:13" x14ac:dyDescent="0.35">
      <c r="A230" s="18">
        <v>22</v>
      </c>
      <c r="B230" s="22" t="s">
        <v>38</v>
      </c>
      <c r="C230" s="18" t="s">
        <v>19</v>
      </c>
      <c r="D230" s="18">
        <v>2</v>
      </c>
      <c r="E230" s="18" t="s">
        <v>21</v>
      </c>
      <c r="F230" s="18" t="s">
        <v>24</v>
      </c>
      <c r="G230" s="18" t="s">
        <v>10</v>
      </c>
      <c r="H230" s="18">
        <v>1478</v>
      </c>
      <c r="I230" s="22" t="s">
        <v>46</v>
      </c>
      <c r="J230" s="18">
        <v>9</v>
      </c>
      <c r="K230" s="18" t="s">
        <v>11</v>
      </c>
      <c r="L230" s="18">
        <v>2</v>
      </c>
      <c r="M230" s="22" t="s">
        <v>45</v>
      </c>
    </row>
    <row r="231" spans="1:13" x14ac:dyDescent="0.35">
      <c r="A231" s="18">
        <v>22</v>
      </c>
      <c r="B231" s="22" t="s">
        <v>38</v>
      </c>
      <c r="C231" s="18" t="s">
        <v>19</v>
      </c>
      <c r="D231" s="18">
        <v>2</v>
      </c>
      <c r="E231" s="18" t="s">
        <v>22</v>
      </c>
      <c r="F231" s="18" t="s">
        <v>24</v>
      </c>
      <c r="G231" s="18" t="s">
        <v>24</v>
      </c>
      <c r="H231" s="18">
        <v>3149</v>
      </c>
      <c r="I231" s="22" t="s">
        <v>43</v>
      </c>
      <c r="J231" s="18">
        <v>24</v>
      </c>
      <c r="K231" s="18" t="s">
        <v>13</v>
      </c>
      <c r="L231" s="18">
        <v>1</v>
      </c>
      <c r="M231" s="22" t="s">
        <v>34</v>
      </c>
    </row>
    <row r="232" spans="1:13" x14ac:dyDescent="0.35">
      <c r="A232" s="18">
        <v>26</v>
      </c>
      <c r="B232" s="22" t="s">
        <v>38</v>
      </c>
      <c r="C232" s="18" t="s">
        <v>19</v>
      </c>
      <c r="D232" s="18">
        <v>2</v>
      </c>
      <c r="E232" s="18" t="s">
        <v>21</v>
      </c>
      <c r="F232" s="18" t="s">
        <v>24</v>
      </c>
      <c r="G232" s="18" t="s">
        <v>26</v>
      </c>
      <c r="H232" s="18">
        <v>4210</v>
      </c>
      <c r="I232" s="22" t="s">
        <v>43</v>
      </c>
      <c r="J232" s="18">
        <v>36</v>
      </c>
      <c r="K232" s="18" t="s">
        <v>11</v>
      </c>
      <c r="L232" s="18">
        <v>2</v>
      </c>
      <c r="M232" s="22" t="s">
        <v>45</v>
      </c>
    </row>
    <row r="233" spans="1:13" x14ac:dyDescent="0.35">
      <c r="A233" s="18">
        <v>51</v>
      </c>
      <c r="B233" s="22" t="s">
        <v>37</v>
      </c>
      <c r="C233" s="18" t="s">
        <v>19</v>
      </c>
      <c r="D233" s="18">
        <v>1</v>
      </c>
      <c r="E233" s="18" t="s">
        <v>22</v>
      </c>
      <c r="F233" s="18" t="s">
        <v>25</v>
      </c>
      <c r="G233" s="18" t="s">
        <v>10</v>
      </c>
      <c r="H233" s="18">
        <v>2507</v>
      </c>
      <c r="I233" s="22" t="s">
        <v>43</v>
      </c>
      <c r="J233" s="18">
        <v>9</v>
      </c>
      <c r="K233" s="18" t="s">
        <v>14</v>
      </c>
      <c r="L233" s="18">
        <v>1</v>
      </c>
      <c r="M233" s="22" t="s">
        <v>34</v>
      </c>
    </row>
    <row r="234" spans="1:13" x14ac:dyDescent="0.35">
      <c r="A234" s="18">
        <v>35</v>
      </c>
      <c r="B234" s="22" t="s">
        <v>39</v>
      </c>
      <c r="C234" s="18" t="s">
        <v>19</v>
      </c>
      <c r="D234" s="18">
        <v>2</v>
      </c>
      <c r="E234" s="18" t="s">
        <v>21</v>
      </c>
      <c r="F234" s="18" t="s">
        <v>27</v>
      </c>
      <c r="G234" s="18" t="s">
        <v>10</v>
      </c>
      <c r="H234" s="18">
        <v>2141</v>
      </c>
      <c r="I234" s="22" t="s">
        <v>43</v>
      </c>
      <c r="J234" s="18">
        <v>12</v>
      </c>
      <c r="K234" s="18" t="s">
        <v>11</v>
      </c>
      <c r="L234" s="18">
        <v>1</v>
      </c>
      <c r="M234" s="22" t="s">
        <v>34</v>
      </c>
    </row>
    <row r="235" spans="1:13" x14ac:dyDescent="0.35">
      <c r="A235" s="18">
        <v>25</v>
      </c>
      <c r="B235" s="22" t="s">
        <v>38</v>
      </c>
      <c r="C235" s="18" t="s">
        <v>19</v>
      </c>
      <c r="D235" s="18">
        <v>1</v>
      </c>
      <c r="E235" s="18" t="s">
        <v>21</v>
      </c>
      <c r="F235" s="18" t="s">
        <v>24</v>
      </c>
      <c r="G235" s="18" t="s">
        <v>27</v>
      </c>
      <c r="H235" s="18">
        <v>866</v>
      </c>
      <c r="I235" s="22" t="s">
        <v>46</v>
      </c>
      <c r="J235" s="18">
        <v>18</v>
      </c>
      <c r="K235" s="18" t="s">
        <v>11</v>
      </c>
      <c r="L235" s="18">
        <v>1</v>
      </c>
      <c r="M235" s="22" t="s">
        <v>34</v>
      </c>
    </row>
    <row r="236" spans="1:13" x14ac:dyDescent="0.35">
      <c r="A236" s="18">
        <v>42</v>
      </c>
      <c r="B236" s="22" t="s">
        <v>39</v>
      </c>
      <c r="C236" s="18" t="s">
        <v>19</v>
      </c>
      <c r="D236" s="18">
        <v>1</v>
      </c>
      <c r="E236" s="18" t="s">
        <v>21</v>
      </c>
      <c r="F236" s="18" t="s">
        <v>24</v>
      </c>
      <c r="G236" s="18" t="s">
        <v>10</v>
      </c>
      <c r="H236" s="18">
        <v>1544</v>
      </c>
      <c r="I236" s="22" t="s">
        <v>46</v>
      </c>
      <c r="J236" s="18">
        <v>4</v>
      </c>
      <c r="K236" s="18" t="s">
        <v>11</v>
      </c>
      <c r="L236" s="18">
        <v>1</v>
      </c>
      <c r="M236" s="22" t="s">
        <v>34</v>
      </c>
    </row>
    <row r="237" spans="1:13" x14ac:dyDescent="0.35">
      <c r="A237" s="18">
        <v>30</v>
      </c>
      <c r="B237" s="22" t="s">
        <v>39</v>
      </c>
      <c r="C237" s="18" t="s">
        <v>19</v>
      </c>
      <c r="D237" s="18">
        <v>3</v>
      </c>
      <c r="E237" s="18" t="s">
        <v>21</v>
      </c>
      <c r="F237" s="18" t="s">
        <v>24</v>
      </c>
      <c r="G237" s="18" t="s">
        <v>24</v>
      </c>
      <c r="H237" s="18">
        <v>1823</v>
      </c>
      <c r="I237" s="22" t="s">
        <v>46</v>
      </c>
      <c r="J237" s="18">
        <v>24</v>
      </c>
      <c r="K237" s="18" t="s">
        <v>11</v>
      </c>
      <c r="L237" s="18">
        <v>2</v>
      </c>
      <c r="M237" s="22" t="s">
        <v>45</v>
      </c>
    </row>
    <row r="238" spans="1:13" x14ac:dyDescent="0.35">
      <c r="A238" s="18">
        <v>23</v>
      </c>
      <c r="B238" s="22" t="s">
        <v>38</v>
      </c>
      <c r="C238" s="18" t="s">
        <v>19</v>
      </c>
      <c r="D238" s="18">
        <v>0</v>
      </c>
      <c r="E238" s="18" t="s">
        <v>21</v>
      </c>
      <c r="F238" s="18" t="s">
        <v>10</v>
      </c>
      <c r="G238" s="18" t="s">
        <v>27</v>
      </c>
      <c r="H238" s="18">
        <v>14555</v>
      </c>
      <c r="I238" s="22" t="s">
        <v>42</v>
      </c>
      <c r="J238" s="18">
        <v>6</v>
      </c>
      <c r="K238" s="18" t="s">
        <v>14</v>
      </c>
      <c r="L238" s="18">
        <v>2</v>
      </c>
      <c r="M238" s="22" t="s">
        <v>45</v>
      </c>
    </row>
    <row r="239" spans="1:13" x14ac:dyDescent="0.35">
      <c r="A239" s="18">
        <v>61</v>
      </c>
      <c r="B239" s="22" t="s">
        <v>37</v>
      </c>
      <c r="C239" s="18" t="s">
        <v>19</v>
      </c>
      <c r="D239" s="18">
        <v>1</v>
      </c>
      <c r="E239" s="18" t="s">
        <v>23</v>
      </c>
      <c r="F239" s="18" t="s">
        <v>27</v>
      </c>
      <c r="G239" s="18" t="s">
        <v>27</v>
      </c>
      <c r="H239" s="18">
        <v>2767</v>
      </c>
      <c r="I239" s="22" t="s">
        <v>43</v>
      </c>
      <c r="J239" s="18">
        <v>21</v>
      </c>
      <c r="K239" s="18" t="s">
        <v>15</v>
      </c>
      <c r="L239" s="18">
        <v>2</v>
      </c>
      <c r="M239" s="22" t="s">
        <v>45</v>
      </c>
    </row>
    <row r="240" spans="1:13" x14ac:dyDescent="0.35">
      <c r="A240" s="18">
        <v>35</v>
      </c>
      <c r="B240" s="22" t="s">
        <v>39</v>
      </c>
      <c r="C240" s="18" t="s">
        <v>20</v>
      </c>
      <c r="D240" s="18">
        <v>2</v>
      </c>
      <c r="E240" s="18" t="s">
        <v>21</v>
      </c>
      <c r="F240" s="18" t="s">
        <v>24</v>
      </c>
      <c r="G240" s="18" t="s">
        <v>10</v>
      </c>
      <c r="H240" s="18">
        <v>1291</v>
      </c>
      <c r="I240" s="22" t="s">
        <v>46</v>
      </c>
      <c r="J240" s="18">
        <v>12</v>
      </c>
      <c r="K240" s="18" t="s">
        <v>11</v>
      </c>
      <c r="L240" s="18">
        <v>1</v>
      </c>
      <c r="M240" s="22" t="s">
        <v>34</v>
      </c>
    </row>
    <row r="241" spans="1:13" x14ac:dyDescent="0.35">
      <c r="A241" s="18">
        <v>39</v>
      </c>
      <c r="B241" s="22" t="s">
        <v>39</v>
      </c>
      <c r="C241" s="18" t="s">
        <v>19</v>
      </c>
      <c r="D241" s="18">
        <v>2</v>
      </c>
      <c r="E241" s="18" t="s">
        <v>21</v>
      </c>
      <c r="F241" s="18" t="s">
        <v>24</v>
      </c>
      <c r="G241" s="18" t="s">
        <v>24</v>
      </c>
      <c r="H241" s="18">
        <v>2522</v>
      </c>
      <c r="I241" s="22" t="s">
        <v>43</v>
      </c>
      <c r="J241" s="18">
        <v>30</v>
      </c>
      <c r="K241" s="18" t="s">
        <v>11</v>
      </c>
      <c r="L241" s="18">
        <v>1</v>
      </c>
      <c r="M241" s="22" t="s">
        <v>34</v>
      </c>
    </row>
    <row r="242" spans="1:13" x14ac:dyDescent="0.35">
      <c r="A242" s="18">
        <v>29</v>
      </c>
      <c r="B242" s="22" t="s">
        <v>38</v>
      </c>
      <c r="C242" s="18" t="s">
        <v>20</v>
      </c>
      <c r="D242" s="18">
        <v>2</v>
      </c>
      <c r="E242" s="18" t="s">
        <v>21</v>
      </c>
      <c r="F242" s="18" t="s">
        <v>10</v>
      </c>
      <c r="G242" s="18" t="s">
        <v>24</v>
      </c>
      <c r="H242" s="18">
        <v>915</v>
      </c>
      <c r="I242" s="22" t="s">
        <v>46</v>
      </c>
      <c r="J242" s="18">
        <v>24</v>
      </c>
      <c r="K242" s="18" t="s">
        <v>14</v>
      </c>
      <c r="L242" s="18">
        <v>2</v>
      </c>
      <c r="M242" s="22" t="s">
        <v>45</v>
      </c>
    </row>
    <row r="243" spans="1:13" x14ac:dyDescent="0.35">
      <c r="A243" s="18">
        <v>51</v>
      </c>
      <c r="B243" s="22" t="s">
        <v>37</v>
      </c>
      <c r="C243" s="18" t="s">
        <v>19</v>
      </c>
      <c r="D243" s="18">
        <v>2</v>
      </c>
      <c r="E243" s="18" t="s">
        <v>21</v>
      </c>
      <c r="F243" s="18" t="s">
        <v>24</v>
      </c>
      <c r="G243" s="18" t="s">
        <v>10</v>
      </c>
      <c r="H243" s="18">
        <v>1595</v>
      </c>
      <c r="I243" s="22" t="s">
        <v>46</v>
      </c>
      <c r="J243" s="18">
        <v>6</v>
      </c>
      <c r="K243" s="18" t="s">
        <v>11</v>
      </c>
      <c r="L243" s="18">
        <v>1</v>
      </c>
      <c r="M243" s="22" t="s">
        <v>34</v>
      </c>
    </row>
    <row r="244" spans="1:13" x14ac:dyDescent="0.35">
      <c r="A244" s="18">
        <v>24</v>
      </c>
      <c r="B244" s="22" t="s">
        <v>38</v>
      </c>
      <c r="C244" s="18" t="s">
        <v>19</v>
      </c>
      <c r="D244" s="18">
        <v>2</v>
      </c>
      <c r="E244" s="18" t="s">
        <v>22</v>
      </c>
      <c r="F244" s="18" t="s">
        <v>24</v>
      </c>
      <c r="G244" s="18" t="s">
        <v>24</v>
      </c>
      <c r="H244" s="18">
        <v>4605</v>
      </c>
      <c r="I244" s="22" t="s">
        <v>43</v>
      </c>
      <c r="J244" s="18">
        <v>48</v>
      </c>
      <c r="K244" s="18" t="s">
        <v>14</v>
      </c>
      <c r="L244" s="18">
        <v>2</v>
      </c>
      <c r="M244" s="22" t="s">
        <v>45</v>
      </c>
    </row>
    <row r="245" spans="1:13" x14ac:dyDescent="0.35">
      <c r="A245" s="18">
        <v>27</v>
      </c>
      <c r="B245" s="22" t="s">
        <v>38</v>
      </c>
      <c r="C245" s="18" t="s">
        <v>20</v>
      </c>
      <c r="D245" s="18">
        <v>2</v>
      </c>
      <c r="E245" s="18" t="s">
        <v>21</v>
      </c>
      <c r="F245" s="18" t="s">
        <v>24</v>
      </c>
      <c r="G245" s="18" t="s">
        <v>10</v>
      </c>
      <c r="H245" s="18">
        <v>1185</v>
      </c>
      <c r="I245" s="22" t="s">
        <v>46</v>
      </c>
      <c r="J245" s="18">
        <v>12</v>
      </c>
      <c r="K245" s="18" t="s">
        <v>15</v>
      </c>
      <c r="L245" s="18">
        <v>1</v>
      </c>
      <c r="M245" s="22" t="s">
        <v>34</v>
      </c>
    </row>
    <row r="246" spans="1:13" x14ac:dyDescent="0.35">
      <c r="A246" s="18">
        <v>35</v>
      </c>
      <c r="B246" s="22" t="s">
        <v>39</v>
      </c>
      <c r="C246" s="18" t="s">
        <v>20</v>
      </c>
      <c r="D246" s="18">
        <v>1</v>
      </c>
      <c r="E246" s="18" t="s">
        <v>21</v>
      </c>
      <c r="F246" s="18" t="s">
        <v>25</v>
      </c>
      <c r="G246" s="18" t="s">
        <v>10</v>
      </c>
      <c r="H246" s="18">
        <v>3447</v>
      </c>
      <c r="I246" s="22" t="s">
        <v>43</v>
      </c>
      <c r="J246" s="18">
        <v>12</v>
      </c>
      <c r="K246" s="18" t="s">
        <v>12</v>
      </c>
      <c r="L246" s="18">
        <v>1</v>
      </c>
      <c r="M246" s="22" t="s">
        <v>34</v>
      </c>
    </row>
    <row r="247" spans="1:13" x14ac:dyDescent="0.35">
      <c r="A247" s="18">
        <v>25</v>
      </c>
      <c r="B247" s="22" t="s">
        <v>38</v>
      </c>
      <c r="C247" s="18" t="s">
        <v>19</v>
      </c>
      <c r="D247" s="18">
        <v>2</v>
      </c>
      <c r="E247" s="18" t="s">
        <v>21</v>
      </c>
      <c r="F247" s="18" t="s">
        <v>24</v>
      </c>
      <c r="G247" s="18" t="s">
        <v>10</v>
      </c>
      <c r="H247" s="18">
        <v>1258</v>
      </c>
      <c r="I247" s="22" t="s">
        <v>46</v>
      </c>
      <c r="J247" s="18">
        <v>24</v>
      </c>
      <c r="K247" s="18" t="s">
        <v>15</v>
      </c>
      <c r="L247" s="18">
        <v>1</v>
      </c>
      <c r="M247" s="22" t="s">
        <v>34</v>
      </c>
    </row>
    <row r="248" spans="1:13" x14ac:dyDescent="0.35">
      <c r="A248" s="18">
        <v>52</v>
      </c>
      <c r="B248" s="22" t="s">
        <v>37</v>
      </c>
      <c r="C248" s="18" t="s">
        <v>19</v>
      </c>
      <c r="D248" s="18">
        <v>2</v>
      </c>
      <c r="E248" s="18" t="s">
        <v>21</v>
      </c>
      <c r="F248" s="18" t="s">
        <v>24</v>
      </c>
      <c r="G248" s="18" t="s">
        <v>10</v>
      </c>
      <c r="H248" s="18">
        <v>717</v>
      </c>
      <c r="I248" s="22" t="s">
        <v>46</v>
      </c>
      <c r="J248" s="18">
        <v>12</v>
      </c>
      <c r="K248" s="18" t="s">
        <v>11</v>
      </c>
      <c r="L248" s="18">
        <v>1</v>
      </c>
      <c r="M248" s="22" t="s">
        <v>34</v>
      </c>
    </row>
    <row r="249" spans="1:13" x14ac:dyDescent="0.35">
      <c r="A249" s="18">
        <v>35</v>
      </c>
      <c r="B249" s="22" t="s">
        <v>39</v>
      </c>
      <c r="C249" s="18" t="s">
        <v>19</v>
      </c>
      <c r="D249" s="18">
        <v>2</v>
      </c>
      <c r="E249" s="18" t="s">
        <v>23</v>
      </c>
      <c r="F249" s="18" t="s">
        <v>27</v>
      </c>
      <c r="G249" s="18" t="s">
        <v>10</v>
      </c>
      <c r="H249" s="18">
        <v>1204</v>
      </c>
      <c r="I249" s="22" t="s">
        <v>46</v>
      </c>
      <c r="J249" s="18">
        <v>6</v>
      </c>
      <c r="K249" s="18" t="s">
        <v>14</v>
      </c>
      <c r="L249" s="18">
        <v>1</v>
      </c>
      <c r="M249" s="22" t="s">
        <v>34</v>
      </c>
    </row>
    <row r="250" spans="1:13" x14ac:dyDescent="0.35">
      <c r="A250" s="18">
        <v>26</v>
      </c>
      <c r="B250" s="22" t="s">
        <v>38</v>
      </c>
      <c r="C250" s="18" t="s">
        <v>19</v>
      </c>
      <c r="D250" s="18">
        <v>2</v>
      </c>
      <c r="E250" s="18" t="s">
        <v>21</v>
      </c>
      <c r="F250" s="18" t="s">
        <v>24</v>
      </c>
      <c r="G250" s="18" t="s">
        <v>26</v>
      </c>
      <c r="H250" s="18">
        <v>1925</v>
      </c>
      <c r="I250" s="22" t="s">
        <v>46</v>
      </c>
      <c r="J250" s="18">
        <v>24</v>
      </c>
      <c r="K250" s="18" t="s">
        <v>13</v>
      </c>
      <c r="L250" s="18">
        <v>1</v>
      </c>
      <c r="M250" s="22" t="s">
        <v>34</v>
      </c>
    </row>
    <row r="251" spans="1:13" x14ac:dyDescent="0.35">
      <c r="A251" s="18">
        <v>22</v>
      </c>
      <c r="B251" s="22" t="s">
        <v>38</v>
      </c>
      <c r="C251" s="18" t="s">
        <v>20</v>
      </c>
      <c r="D251" s="18">
        <v>2</v>
      </c>
      <c r="E251" s="18" t="s">
        <v>23</v>
      </c>
      <c r="F251" s="18" t="s">
        <v>24</v>
      </c>
      <c r="G251" s="18" t="s">
        <v>10</v>
      </c>
      <c r="H251" s="18">
        <v>433</v>
      </c>
      <c r="I251" s="22" t="s">
        <v>46</v>
      </c>
      <c r="J251" s="18">
        <v>18</v>
      </c>
      <c r="K251" s="18" t="s">
        <v>11</v>
      </c>
      <c r="L251" s="18">
        <v>2</v>
      </c>
      <c r="M251" s="22" t="s">
        <v>45</v>
      </c>
    </row>
    <row r="252" spans="1:13" x14ac:dyDescent="0.35">
      <c r="A252" s="18">
        <v>39</v>
      </c>
      <c r="B252" s="22" t="s">
        <v>39</v>
      </c>
      <c r="C252" s="18" t="s">
        <v>20</v>
      </c>
      <c r="D252" s="18">
        <v>1</v>
      </c>
      <c r="E252" s="18" t="s">
        <v>21</v>
      </c>
      <c r="F252" s="18" t="s">
        <v>26</v>
      </c>
      <c r="G252" s="18" t="s">
        <v>24</v>
      </c>
      <c r="H252" s="18">
        <v>666</v>
      </c>
      <c r="I252" s="22" t="s">
        <v>46</v>
      </c>
      <c r="J252" s="18">
        <v>6</v>
      </c>
      <c r="K252" s="18" t="s">
        <v>14</v>
      </c>
      <c r="L252" s="18">
        <v>1</v>
      </c>
      <c r="M252" s="22" t="s">
        <v>34</v>
      </c>
    </row>
    <row r="253" spans="1:13" x14ac:dyDescent="0.35">
      <c r="A253" s="18">
        <v>46</v>
      </c>
      <c r="B253" s="22" t="s">
        <v>39</v>
      </c>
      <c r="C253" s="18" t="s">
        <v>20</v>
      </c>
      <c r="D253" s="18">
        <v>1</v>
      </c>
      <c r="E253" s="18" t="s">
        <v>21</v>
      </c>
      <c r="F253" s="18" t="s">
        <v>24</v>
      </c>
      <c r="G253" s="18" t="s">
        <v>26</v>
      </c>
      <c r="H253" s="18">
        <v>2251</v>
      </c>
      <c r="I253" s="22" t="s">
        <v>43</v>
      </c>
      <c r="J253" s="18">
        <v>12</v>
      </c>
      <c r="K253" s="18" t="s">
        <v>13</v>
      </c>
      <c r="L253" s="18">
        <v>1</v>
      </c>
      <c r="M253" s="22" t="s">
        <v>34</v>
      </c>
    </row>
    <row r="254" spans="1:13" x14ac:dyDescent="0.35">
      <c r="A254" s="18">
        <v>24</v>
      </c>
      <c r="B254" s="22" t="s">
        <v>38</v>
      </c>
      <c r="C254" s="18" t="s">
        <v>20</v>
      </c>
      <c r="D254" s="18">
        <v>2</v>
      </c>
      <c r="E254" s="18" t="s">
        <v>21</v>
      </c>
      <c r="F254" s="18" t="s">
        <v>24</v>
      </c>
      <c r="G254" s="18" t="s">
        <v>27</v>
      </c>
      <c r="H254" s="18">
        <v>2150</v>
      </c>
      <c r="I254" s="22" t="s">
        <v>43</v>
      </c>
      <c r="J254" s="18">
        <v>30</v>
      </c>
      <c r="K254" s="18" t="s">
        <v>14</v>
      </c>
      <c r="L254" s="18">
        <v>2</v>
      </c>
      <c r="M254" s="22" t="s">
        <v>45</v>
      </c>
    </row>
    <row r="255" spans="1:13" x14ac:dyDescent="0.35">
      <c r="A255" s="18">
        <v>35</v>
      </c>
      <c r="B255" s="22" t="s">
        <v>39</v>
      </c>
      <c r="C255" s="18" t="s">
        <v>19</v>
      </c>
      <c r="D255" s="18">
        <v>2</v>
      </c>
      <c r="E255" s="18" t="s">
        <v>21</v>
      </c>
      <c r="F255" s="18" t="s">
        <v>27</v>
      </c>
      <c r="G255" s="18" t="s">
        <v>10</v>
      </c>
      <c r="H255" s="18">
        <v>4151</v>
      </c>
      <c r="I255" s="22" t="s">
        <v>43</v>
      </c>
      <c r="J255" s="18">
        <v>24</v>
      </c>
      <c r="K255" s="18" t="s">
        <v>13</v>
      </c>
      <c r="L255" s="18">
        <v>1</v>
      </c>
      <c r="M255" s="22" t="s">
        <v>34</v>
      </c>
    </row>
    <row r="256" spans="1:13" x14ac:dyDescent="0.35">
      <c r="A256" s="18">
        <v>24</v>
      </c>
      <c r="B256" s="22" t="s">
        <v>38</v>
      </c>
      <c r="C256" s="18" t="s">
        <v>19</v>
      </c>
      <c r="D256" s="18">
        <v>2</v>
      </c>
      <c r="E256" s="18" t="s">
        <v>21</v>
      </c>
      <c r="F256" s="18" t="s">
        <v>10</v>
      </c>
      <c r="G256" s="18" t="s">
        <v>27</v>
      </c>
      <c r="H256" s="18">
        <v>2030</v>
      </c>
      <c r="I256" s="22" t="s">
        <v>43</v>
      </c>
      <c r="J256" s="18">
        <v>9</v>
      </c>
      <c r="K256" s="18" t="s">
        <v>13</v>
      </c>
      <c r="L256" s="18">
        <v>1</v>
      </c>
      <c r="M256" s="22" t="s">
        <v>34</v>
      </c>
    </row>
    <row r="257" spans="1:13" x14ac:dyDescent="0.35">
      <c r="A257" s="18">
        <v>27</v>
      </c>
      <c r="B257" s="22" t="s">
        <v>38</v>
      </c>
      <c r="C257" s="18" t="s">
        <v>19</v>
      </c>
      <c r="D257" s="18">
        <v>1</v>
      </c>
      <c r="E257" s="18" t="s">
        <v>21</v>
      </c>
      <c r="F257" s="18" t="s">
        <v>10</v>
      </c>
      <c r="G257" s="18" t="s">
        <v>27</v>
      </c>
      <c r="H257" s="18">
        <v>7418</v>
      </c>
      <c r="I257" s="22" t="s">
        <v>42</v>
      </c>
      <c r="J257" s="18">
        <v>60</v>
      </c>
      <c r="K257" s="18" t="s">
        <v>11</v>
      </c>
      <c r="L257" s="18">
        <v>1</v>
      </c>
      <c r="M257" s="22" t="s">
        <v>34</v>
      </c>
    </row>
    <row r="258" spans="1:13" x14ac:dyDescent="0.35">
      <c r="A258" s="18">
        <v>35</v>
      </c>
      <c r="B258" s="22" t="s">
        <v>39</v>
      </c>
      <c r="C258" s="18" t="s">
        <v>19</v>
      </c>
      <c r="D258" s="18">
        <v>1</v>
      </c>
      <c r="E258" s="18" t="s">
        <v>21</v>
      </c>
      <c r="F258" s="18" t="s">
        <v>24</v>
      </c>
      <c r="G258" s="18" t="s">
        <v>10</v>
      </c>
      <c r="H258" s="18">
        <v>2684</v>
      </c>
      <c r="I258" s="22" t="s">
        <v>43</v>
      </c>
      <c r="J258" s="18">
        <v>24</v>
      </c>
      <c r="K258" s="18" t="s">
        <v>11</v>
      </c>
      <c r="L258" s="18">
        <v>1</v>
      </c>
      <c r="M258" s="22" t="s">
        <v>34</v>
      </c>
    </row>
    <row r="259" spans="1:13" x14ac:dyDescent="0.35">
      <c r="A259" s="18">
        <v>29</v>
      </c>
      <c r="B259" s="22" t="s">
        <v>38</v>
      </c>
      <c r="C259" s="18" t="s">
        <v>19</v>
      </c>
      <c r="D259" s="18">
        <v>2</v>
      </c>
      <c r="E259" s="18" t="s">
        <v>22</v>
      </c>
      <c r="F259" s="18" t="s">
        <v>24</v>
      </c>
      <c r="G259" s="18" t="s">
        <v>24</v>
      </c>
      <c r="H259" s="18">
        <v>2149</v>
      </c>
      <c r="I259" s="22" t="s">
        <v>43</v>
      </c>
      <c r="J259" s="18">
        <v>12</v>
      </c>
      <c r="K259" s="18" t="s">
        <v>11</v>
      </c>
      <c r="L259" s="18">
        <v>2</v>
      </c>
      <c r="M259" s="22" t="s">
        <v>45</v>
      </c>
    </row>
    <row r="260" spans="1:13" x14ac:dyDescent="0.35">
      <c r="A260" s="18">
        <v>23</v>
      </c>
      <c r="B260" s="22" t="s">
        <v>38</v>
      </c>
      <c r="C260" s="18" t="s">
        <v>20</v>
      </c>
      <c r="D260" s="18">
        <v>2</v>
      </c>
      <c r="E260" s="18" t="s">
        <v>21</v>
      </c>
      <c r="F260" s="18" t="s">
        <v>27</v>
      </c>
      <c r="G260" s="18" t="s">
        <v>10</v>
      </c>
      <c r="H260" s="18">
        <v>3812</v>
      </c>
      <c r="I260" s="22" t="s">
        <v>43</v>
      </c>
      <c r="J260" s="18">
        <v>15</v>
      </c>
      <c r="K260" s="18" t="s">
        <v>14</v>
      </c>
      <c r="L260" s="18">
        <v>1</v>
      </c>
      <c r="M260" s="22" t="s">
        <v>34</v>
      </c>
    </row>
    <row r="261" spans="1:13" x14ac:dyDescent="0.35">
      <c r="A261" s="18">
        <v>57</v>
      </c>
      <c r="B261" s="22" t="s">
        <v>37</v>
      </c>
      <c r="C261" s="18" t="s">
        <v>20</v>
      </c>
      <c r="D261" s="18">
        <v>1</v>
      </c>
      <c r="E261" s="18" t="s">
        <v>21</v>
      </c>
      <c r="F261" s="18" t="s">
        <v>27</v>
      </c>
      <c r="G261" s="18" t="s">
        <v>10</v>
      </c>
      <c r="H261" s="18">
        <v>1154</v>
      </c>
      <c r="I261" s="22" t="s">
        <v>46</v>
      </c>
      <c r="J261" s="18">
        <v>11</v>
      </c>
      <c r="K261" s="18" t="s">
        <v>11</v>
      </c>
      <c r="L261" s="18">
        <v>1</v>
      </c>
      <c r="M261" s="22" t="s">
        <v>34</v>
      </c>
    </row>
    <row r="262" spans="1:13" x14ac:dyDescent="0.35">
      <c r="A262" s="18">
        <v>27</v>
      </c>
      <c r="B262" s="22" t="s">
        <v>38</v>
      </c>
      <c r="C262" s="18" t="s">
        <v>19</v>
      </c>
      <c r="D262" s="18">
        <v>2</v>
      </c>
      <c r="E262" s="18" t="s">
        <v>21</v>
      </c>
      <c r="F262" s="18" t="s">
        <v>24</v>
      </c>
      <c r="G262" s="18" t="s">
        <v>24</v>
      </c>
      <c r="H262" s="18">
        <v>1657</v>
      </c>
      <c r="I262" s="22" t="s">
        <v>46</v>
      </c>
      <c r="J262" s="18">
        <v>12</v>
      </c>
      <c r="K262" s="18" t="s">
        <v>13</v>
      </c>
      <c r="L262" s="18">
        <v>1</v>
      </c>
      <c r="M262" s="22" t="s">
        <v>34</v>
      </c>
    </row>
    <row r="263" spans="1:13" x14ac:dyDescent="0.35">
      <c r="A263" s="18">
        <v>55</v>
      </c>
      <c r="B263" s="22" t="s">
        <v>37</v>
      </c>
      <c r="C263" s="18" t="s">
        <v>20</v>
      </c>
      <c r="D263" s="18">
        <v>2</v>
      </c>
      <c r="E263" s="18" t="s">
        <v>21</v>
      </c>
      <c r="F263" s="18" t="s">
        <v>24</v>
      </c>
      <c r="G263" s="18" t="s">
        <v>24</v>
      </c>
      <c r="H263" s="18">
        <v>1603</v>
      </c>
      <c r="I263" s="22" t="s">
        <v>46</v>
      </c>
      <c r="J263" s="18">
        <v>24</v>
      </c>
      <c r="K263" s="18" t="s">
        <v>11</v>
      </c>
      <c r="L263" s="18">
        <v>1</v>
      </c>
      <c r="M263" s="22" t="s">
        <v>34</v>
      </c>
    </row>
    <row r="264" spans="1:13" x14ac:dyDescent="0.35">
      <c r="A264" s="18">
        <v>36</v>
      </c>
      <c r="B264" s="22" t="s">
        <v>39</v>
      </c>
      <c r="C264" s="18" t="s">
        <v>19</v>
      </c>
      <c r="D264" s="18">
        <v>3</v>
      </c>
      <c r="E264" s="18" t="s">
        <v>22</v>
      </c>
      <c r="F264" s="18" t="s">
        <v>24</v>
      </c>
      <c r="G264" s="18" t="s">
        <v>24</v>
      </c>
      <c r="H264" s="18">
        <v>5302</v>
      </c>
      <c r="I264" s="22" t="s">
        <v>42</v>
      </c>
      <c r="J264" s="18">
        <v>18</v>
      </c>
      <c r="K264" s="18" t="s">
        <v>14</v>
      </c>
      <c r="L264" s="18">
        <v>1</v>
      </c>
      <c r="M264" s="22" t="s">
        <v>34</v>
      </c>
    </row>
    <row r="265" spans="1:13" x14ac:dyDescent="0.35">
      <c r="A265" s="18">
        <v>57</v>
      </c>
      <c r="B265" s="22" t="s">
        <v>37</v>
      </c>
      <c r="C265" s="18" t="s">
        <v>20</v>
      </c>
      <c r="D265" s="18">
        <v>1</v>
      </c>
      <c r="E265" s="18" t="s">
        <v>22</v>
      </c>
      <c r="F265" s="18" t="s">
        <v>24</v>
      </c>
      <c r="G265" s="18" t="s">
        <v>10</v>
      </c>
      <c r="H265" s="18">
        <v>2748</v>
      </c>
      <c r="I265" s="22" t="s">
        <v>43</v>
      </c>
      <c r="J265" s="18">
        <v>12</v>
      </c>
      <c r="K265" s="18" t="s">
        <v>12</v>
      </c>
      <c r="L265" s="18">
        <v>1</v>
      </c>
      <c r="M265" s="22" t="s">
        <v>34</v>
      </c>
    </row>
    <row r="266" spans="1:13" x14ac:dyDescent="0.35">
      <c r="A266" s="18">
        <v>32</v>
      </c>
      <c r="B266" s="22" t="s">
        <v>39</v>
      </c>
      <c r="C266" s="18" t="s">
        <v>19</v>
      </c>
      <c r="D266" s="18">
        <v>1</v>
      </c>
      <c r="E266" s="18" t="s">
        <v>21</v>
      </c>
      <c r="F266" s="18" t="s">
        <v>24</v>
      </c>
      <c r="G266" s="18" t="s">
        <v>10</v>
      </c>
      <c r="H266" s="18">
        <v>1231</v>
      </c>
      <c r="I266" s="22" t="s">
        <v>46</v>
      </c>
      <c r="J266" s="18">
        <v>10</v>
      </c>
      <c r="K266" s="18" t="s">
        <v>14</v>
      </c>
      <c r="L266" s="18">
        <v>1</v>
      </c>
      <c r="M266" s="22" t="s">
        <v>34</v>
      </c>
    </row>
    <row r="267" spans="1:13" x14ac:dyDescent="0.35">
      <c r="A267" s="18">
        <v>37</v>
      </c>
      <c r="B267" s="22" t="s">
        <v>39</v>
      </c>
      <c r="C267" s="18" t="s">
        <v>19</v>
      </c>
      <c r="D267" s="18">
        <v>2</v>
      </c>
      <c r="E267" s="18" t="s">
        <v>21</v>
      </c>
      <c r="F267" s="18" t="s">
        <v>24</v>
      </c>
      <c r="G267" s="18" t="s">
        <v>27</v>
      </c>
      <c r="H267" s="18">
        <v>802</v>
      </c>
      <c r="I267" s="22" t="s">
        <v>46</v>
      </c>
      <c r="J267" s="18">
        <v>15</v>
      </c>
      <c r="K267" s="18" t="s">
        <v>11</v>
      </c>
      <c r="L267" s="18">
        <v>2</v>
      </c>
      <c r="M267" s="22" t="s">
        <v>45</v>
      </c>
    </row>
    <row r="268" spans="1:13" x14ac:dyDescent="0.35">
      <c r="A268" s="18">
        <v>36</v>
      </c>
      <c r="B268" s="22" t="s">
        <v>39</v>
      </c>
      <c r="C268" s="18" t="s">
        <v>19</v>
      </c>
      <c r="D268" s="18">
        <v>2</v>
      </c>
      <c r="E268" s="18" t="s">
        <v>21</v>
      </c>
      <c r="F268" s="18" t="s">
        <v>10</v>
      </c>
      <c r="G268" s="18" t="s">
        <v>10</v>
      </c>
      <c r="H268" s="18">
        <v>6304</v>
      </c>
      <c r="I268" s="22" t="s">
        <v>42</v>
      </c>
      <c r="J268" s="18">
        <v>36</v>
      </c>
      <c r="K268" s="18" t="s">
        <v>15</v>
      </c>
      <c r="L268" s="18">
        <v>1</v>
      </c>
      <c r="M268" s="22" t="s">
        <v>34</v>
      </c>
    </row>
    <row r="269" spans="1:13" x14ac:dyDescent="0.35">
      <c r="A269" s="18">
        <v>38</v>
      </c>
      <c r="B269" s="22" t="s">
        <v>39</v>
      </c>
      <c r="C269" s="18" t="s">
        <v>20</v>
      </c>
      <c r="D269" s="18">
        <v>2</v>
      </c>
      <c r="E269" s="18" t="s">
        <v>21</v>
      </c>
      <c r="F269" s="18" t="s">
        <v>24</v>
      </c>
      <c r="G269" s="18" t="s">
        <v>10</v>
      </c>
      <c r="H269" s="18">
        <v>1533</v>
      </c>
      <c r="I269" s="22" t="s">
        <v>46</v>
      </c>
      <c r="J269" s="18">
        <v>24</v>
      </c>
      <c r="K269" s="18" t="s">
        <v>11</v>
      </c>
      <c r="L269" s="18">
        <v>1</v>
      </c>
      <c r="M269" s="22" t="s">
        <v>34</v>
      </c>
    </row>
    <row r="270" spans="1:13" x14ac:dyDescent="0.35">
      <c r="A270" s="18">
        <v>45</v>
      </c>
      <c r="B270" s="22" t="s">
        <v>39</v>
      </c>
      <c r="C270" s="18" t="s">
        <v>19</v>
      </c>
      <c r="D270" s="18">
        <v>3</v>
      </c>
      <c r="E270" s="18" t="s">
        <v>21</v>
      </c>
      <c r="F270" s="18" t="s">
        <v>24</v>
      </c>
      <c r="G270" s="18" t="s">
        <v>24</v>
      </c>
      <c r="H270" s="18">
        <v>8978</v>
      </c>
      <c r="I270" s="22" t="s">
        <v>42</v>
      </c>
      <c r="J270" s="18">
        <v>14</v>
      </c>
      <c r="K270" s="18" t="s">
        <v>14</v>
      </c>
      <c r="L270" s="18">
        <v>2</v>
      </c>
      <c r="M270" s="22" t="s">
        <v>45</v>
      </c>
    </row>
    <row r="271" spans="1:13" x14ac:dyDescent="0.35">
      <c r="A271" s="18">
        <v>25</v>
      </c>
      <c r="B271" s="22" t="s">
        <v>38</v>
      </c>
      <c r="C271" s="18" t="s">
        <v>19</v>
      </c>
      <c r="D271" s="18">
        <v>2</v>
      </c>
      <c r="E271" s="18" t="s">
        <v>21</v>
      </c>
      <c r="F271" s="18" t="s">
        <v>10</v>
      </c>
      <c r="G271" s="18" t="s">
        <v>10</v>
      </c>
      <c r="H271" s="18">
        <v>999</v>
      </c>
      <c r="I271" s="22" t="s">
        <v>46</v>
      </c>
      <c r="J271" s="18">
        <v>24</v>
      </c>
      <c r="K271" s="18" t="s">
        <v>11</v>
      </c>
      <c r="L271" s="18">
        <v>1</v>
      </c>
      <c r="M271" s="22" t="s">
        <v>34</v>
      </c>
    </row>
    <row r="272" spans="1:13" x14ac:dyDescent="0.35">
      <c r="A272" s="18">
        <v>32</v>
      </c>
      <c r="B272" s="22" t="s">
        <v>39</v>
      </c>
      <c r="C272" s="18" t="s">
        <v>19</v>
      </c>
      <c r="D272" s="18">
        <v>2</v>
      </c>
      <c r="E272" s="18" t="s">
        <v>21</v>
      </c>
      <c r="F272" s="18" t="s">
        <v>10</v>
      </c>
      <c r="G272" s="18" t="s">
        <v>10</v>
      </c>
      <c r="H272" s="18">
        <v>2662</v>
      </c>
      <c r="I272" s="22" t="s">
        <v>43</v>
      </c>
      <c r="J272" s="18">
        <v>18</v>
      </c>
      <c r="K272" s="18" t="s">
        <v>14</v>
      </c>
      <c r="L272" s="18">
        <v>1</v>
      </c>
      <c r="M272" s="22" t="s">
        <v>34</v>
      </c>
    </row>
    <row r="273" spans="1:13" x14ac:dyDescent="0.35">
      <c r="A273" s="18">
        <v>37</v>
      </c>
      <c r="B273" s="22" t="s">
        <v>39</v>
      </c>
      <c r="C273" s="18" t="s">
        <v>20</v>
      </c>
      <c r="D273" s="18">
        <v>2</v>
      </c>
      <c r="E273" s="18" t="s">
        <v>23</v>
      </c>
      <c r="F273" s="18" t="s">
        <v>25</v>
      </c>
      <c r="G273" s="18" t="s">
        <v>10</v>
      </c>
      <c r="H273" s="18">
        <v>1402</v>
      </c>
      <c r="I273" s="22" t="s">
        <v>46</v>
      </c>
      <c r="J273" s="18">
        <v>12</v>
      </c>
      <c r="K273" s="18" t="s">
        <v>13</v>
      </c>
      <c r="L273" s="18">
        <v>1</v>
      </c>
      <c r="M273" s="22" t="s">
        <v>34</v>
      </c>
    </row>
    <row r="274" spans="1:13" x14ac:dyDescent="0.35">
      <c r="A274" s="18">
        <v>36</v>
      </c>
      <c r="B274" s="22" t="s">
        <v>39</v>
      </c>
      <c r="C274" s="18" t="s">
        <v>19</v>
      </c>
      <c r="D274" s="18">
        <v>3</v>
      </c>
      <c r="E274" s="18" t="s">
        <v>22</v>
      </c>
      <c r="F274" s="18" t="s">
        <v>10</v>
      </c>
      <c r="G274" s="18" t="s">
        <v>27</v>
      </c>
      <c r="H274" s="18">
        <v>12169</v>
      </c>
      <c r="I274" s="22" t="s">
        <v>42</v>
      </c>
      <c r="J274" s="18">
        <v>48</v>
      </c>
      <c r="K274" s="18" t="s">
        <v>14</v>
      </c>
      <c r="L274" s="18">
        <v>1</v>
      </c>
      <c r="M274" s="22" t="s">
        <v>34</v>
      </c>
    </row>
    <row r="275" spans="1:13" x14ac:dyDescent="0.35">
      <c r="A275" s="18">
        <v>28</v>
      </c>
      <c r="B275" s="22" t="s">
        <v>38</v>
      </c>
      <c r="C275" s="18" t="s">
        <v>19</v>
      </c>
      <c r="D275" s="18">
        <v>2</v>
      </c>
      <c r="E275" s="18" t="s">
        <v>21</v>
      </c>
      <c r="F275" s="18" t="s">
        <v>24</v>
      </c>
      <c r="G275" s="18" t="s">
        <v>27</v>
      </c>
      <c r="H275" s="18">
        <v>3060</v>
      </c>
      <c r="I275" s="22" t="s">
        <v>43</v>
      </c>
      <c r="J275" s="18">
        <v>48</v>
      </c>
      <c r="K275" s="18" t="s">
        <v>11</v>
      </c>
      <c r="L275" s="18">
        <v>2</v>
      </c>
      <c r="M275" s="22" t="s">
        <v>45</v>
      </c>
    </row>
    <row r="276" spans="1:13" x14ac:dyDescent="0.35">
      <c r="A276" s="18">
        <v>34</v>
      </c>
      <c r="B276" s="22" t="s">
        <v>39</v>
      </c>
      <c r="C276" s="18" t="s">
        <v>19</v>
      </c>
      <c r="D276" s="18">
        <v>1</v>
      </c>
      <c r="E276" s="18" t="s">
        <v>21</v>
      </c>
      <c r="F276" s="18" t="s">
        <v>24</v>
      </c>
      <c r="G276" s="18" t="s">
        <v>24</v>
      </c>
      <c r="H276" s="18">
        <v>11998</v>
      </c>
      <c r="I276" s="22" t="s">
        <v>42</v>
      </c>
      <c r="J276" s="18">
        <v>30</v>
      </c>
      <c r="K276" s="18" t="s">
        <v>17</v>
      </c>
      <c r="L276" s="18">
        <v>2</v>
      </c>
      <c r="M276" s="22" t="s">
        <v>45</v>
      </c>
    </row>
    <row r="277" spans="1:13" x14ac:dyDescent="0.35">
      <c r="A277" s="18">
        <v>32</v>
      </c>
      <c r="B277" s="22" t="s">
        <v>39</v>
      </c>
      <c r="C277" s="18" t="s">
        <v>19</v>
      </c>
      <c r="D277" s="18">
        <v>2</v>
      </c>
      <c r="E277" s="18" t="s">
        <v>21</v>
      </c>
      <c r="F277" s="18" t="s">
        <v>24</v>
      </c>
      <c r="G277" s="18" t="s">
        <v>10</v>
      </c>
      <c r="H277" s="18">
        <v>2697</v>
      </c>
      <c r="I277" s="22" t="s">
        <v>43</v>
      </c>
      <c r="J277" s="18">
        <v>9</v>
      </c>
      <c r="K277" s="18" t="s">
        <v>11</v>
      </c>
      <c r="L277" s="18">
        <v>1</v>
      </c>
      <c r="M277" s="22" t="s">
        <v>34</v>
      </c>
    </row>
    <row r="278" spans="1:13" x14ac:dyDescent="0.35">
      <c r="A278" s="18">
        <v>26</v>
      </c>
      <c r="B278" s="22" t="s">
        <v>38</v>
      </c>
      <c r="C278" s="18" t="s">
        <v>20</v>
      </c>
      <c r="D278" s="18">
        <v>2</v>
      </c>
      <c r="E278" s="18" t="s">
        <v>21</v>
      </c>
      <c r="F278" s="18" t="s">
        <v>24</v>
      </c>
      <c r="G278" s="18" t="s">
        <v>10</v>
      </c>
      <c r="H278" s="18">
        <v>2404</v>
      </c>
      <c r="I278" s="22" t="s">
        <v>43</v>
      </c>
      <c r="J278" s="18">
        <v>18</v>
      </c>
      <c r="K278" s="18" t="s">
        <v>11</v>
      </c>
      <c r="L278" s="18">
        <v>1</v>
      </c>
      <c r="M278" s="22" t="s">
        <v>34</v>
      </c>
    </row>
    <row r="279" spans="1:13" x14ac:dyDescent="0.35">
      <c r="A279" s="18">
        <v>49</v>
      </c>
      <c r="B279" s="22" t="s">
        <v>39</v>
      </c>
      <c r="C279" s="18" t="s">
        <v>19</v>
      </c>
      <c r="D279" s="18">
        <v>1</v>
      </c>
      <c r="E279" s="18" t="s">
        <v>21</v>
      </c>
      <c r="F279" s="18" t="s">
        <v>10</v>
      </c>
      <c r="G279" s="18" t="s">
        <v>24</v>
      </c>
      <c r="H279" s="18">
        <v>1262</v>
      </c>
      <c r="I279" s="22" t="s">
        <v>46</v>
      </c>
      <c r="J279" s="18">
        <v>12</v>
      </c>
      <c r="K279" s="18" t="s">
        <v>13</v>
      </c>
      <c r="L279" s="18">
        <v>1</v>
      </c>
      <c r="M279" s="22" t="s">
        <v>34</v>
      </c>
    </row>
    <row r="280" spans="1:13" x14ac:dyDescent="0.35">
      <c r="A280" s="18">
        <v>32</v>
      </c>
      <c r="B280" s="22" t="s">
        <v>39</v>
      </c>
      <c r="C280" s="18" t="s">
        <v>20</v>
      </c>
      <c r="D280" s="18">
        <v>2</v>
      </c>
      <c r="E280" s="18" t="s">
        <v>21</v>
      </c>
      <c r="F280" s="18" t="s">
        <v>24</v>
      </c>
      <c r="G280" s="18" t="s">
        <v>10</v>
      </c>
      <c r="H280" s="18">
        <v>4611</v>
      </c>
      <c r="I280" s="22" t="s">
        <v>43</v>
      </c>
      <c r="J280" s="18">
        <v>6</v>
      </c>
      <c r="K280" s="18" t="s">
        <v>13</v>
      </c>
      <c r="L280" s="18">
        <v>2</v>
      </c>
      <c r="M280" s="22" t="s">
        <v>45</v>
      </c>
    </row>
    <row r="281" spans="1:13" x14ac:dyDescent="0.35">
      <c r="A281" s="18">
        <v>29</v>
      </c>
      <c r="B281" s="22" t="s">
        <v>38</v>
      </c>
      <c r="C281" s="18" t="s">
        <v>19</v>
      </c>
      <c r="D281" s="18">
        <v>3</v>
      </c>
      <c r="E281" s="18" t="s">
        <v>23</v>
      </c>
      <c r="F281" s="18" t="s">
        <v>27</v>
      </c>
      <c r="G281" s="18" t="s">
        <v>10</v>
      </c>
      <c r="H281" s="18">
        <v>1901</v>
      </c>
      <c r="I281" s="22" t="s">
        <v>46</v>
      </c>
      <c r="J281" s="18">
        <v>24</v>
      </c>
      <c r="K281" s="18" t="s">
        <v>11</v>
      </c>
      <c r="L281" s="18">
        <v>1</v>
      </c>
      <c r="M281" s="22" t="s">
        <v>34</v>
      </c>
    </row>
    <row r="282" spans="1:13" x14ac:dyDescent="0.35">
      <c r="A282" s="18">
        <v>23</v>
      </c>
      <c r="B282" s="22" t="s">
        <v>38</v>
      </c>
      <c r="C282" s="18" t="s">
        <v>19</v>
      </c>
      <c r="D282" s="18">
        <v>2</v>
      </c>
      <c r="E282" s="18" t="s">
        <v>23</v>
      </c>
      <c r="F282" s="18" t="s">
        <v>26</v>
      </c>
      <c r="G282" s="18" t="s">
        <v>10</v>
      </c>
      <c r="H282" s="18">
        <v>3368</v>
      </c>
      <c r="I282" s="22" t="s">
        <v>43</v>
      </c>
      <c r="J282" s="18">
        <v>15</v>
      </c>
      <c r="K282" s="18" t="s">
        <v>14</v>
      </c>
      <c r="L282" s="18">
        <v>1</v>
      </c>
      <c r="M282" s="22" t="s">
        <v>34</v>
      </c>
    </row>
    <row r="283" spans="1:13" x14ac:dyDescent="0.35">
      <c r="A283" s="18">
        <v>50</v>
      </c>
      <c r="B283" s="22" t="s">
        <v>37</v>
      </c>
      <c r="C283" s="18" t="s">
        <v>19</v>
      </c>
      <c r="D283" s="18">
        <v>2</v>
      </c>
      <c r="E283" s="18" t="s">
        <v>21</v>
      </c>
      <c r="F283" s="18" t="s">
        <v>24</v>
      </c>
      <c r="G283" s="18" t="s">
        <v>10</v>
      </c>
      <c r="H283" s="18">
        <v>1574</v>
      </c>
      <c r="I283" s="22" t="s">
        <v>46</v>
      </c>
      <c r="J283" s="18">
        <v>12</v>
      </c>
      <c r="K283" s="18" t="s">
        <v>13</v>
      </c>
      <c r="L283" s="18">
        <v>1</v>
      </c>
      <c r="M283" s="22" t="s">
        <v>34</v>
      </c>
    </row>
    <row r="284" spans="1:13" x14ac:dyDescent="0.35">
      <c r="A284" s="18">
        <v>49</v>
      </c>
      <c r="B284" s="22" t="s">
        <v>39</v>
      </c>
      <c r="C284" s="18" t="s">
        <v>19</v>
      </c>
      <c r="D284" s="18">
        <v>1</v>
      </c>
      <c r="E284" s="18" t="s">
        <v>21</v>
      </c>
      <c r="F284" s="18" t="s">
        <v>10</v>
      </c>
      <c r="G284" s="18" t="s">
        <v>26</v>
      </c>
      <c r="H284" s="18">
        <v>1445</v>
      </c>
      <c r="I284" s="22" t="s">
        <v>46</v>
      </c>
      <c r="J284" s="18">
        <v>18</v>
      </c>
      <c r="K284" s="18" t="s">
        <v>11</v>
      </c>
      <c r="L284" s="18">
        <v>1</v>
      </c>
      <c r="M284" s="22" t="s">
        <v>34</v>
      </c>
    </row>
    <row r="285" spans="1:13" x14ac:dyDescent="0.35">
      <c r="A285" s="18">
        <v>63</v>
      </c>
      <c r="B285" s="22" t="s">
        <v>37</v>
      </c>
      <c r="C285" s="18" t="s">
        <v>19</v>
      </c>
      <c r="D285" s="18">
        <v>2</v>
      </c>
      <c r="E285" s="18" t="s">
        <v>21</v>
      </c>
      <c r="F285" s="18" t="s">
        <v>10</v>
      </c>
      <c r="G285" s="18" t="s">
        <v>10</v>
      </c>
      <c r="H285" s="18">
        <v>1520</v>
      </c>
      <c r="I285" s="22" t="s">
        <v>46</v>
      </c>
      <c r="J285" s="18">
        <v>15</v>
      </c>
      <c r="K285" s="18" t="s">
        <v>13</v>
      </c>
      <c r="L285" s="18">
        <v>1</v>
      </c>
      <c r="M285" s="22" t="s">
        <v>34</v>
      </c>
    </row>
    <row r="286" spans="1:13" x14ac:dyDescent="0.35">
      <c r="A286" s="18">
        <v>37</v>
      </c>
      <c r="B286" s="22" t="s">
        <v>39</v>
      </c>
      <c r="C286" s="18" t="s">
        <v>19</v>
      </c>
      <c r="D286" s="18">
        <v>2</v>
      </c>
      <c r="E286" s="18" t="s">
        <v>21</v>
      </c>
      <c r="F286" s="18" t="s">
        <v>27</v>
      </c>
      <c r="G286" s="18" t="s">
        <v>27</v>
      </c>
      <c r="H286" s="18">
        <v>3878</v>
      </c>
      <c r="I286" s="22" t="s">
        <v>43</v>
      </c>
      <c r="J286" s="18">
        <v>24</v>
      </c>
      <c r="K286" s="18" t="s">
        <v>14</v>
      </c>
      <c r="L286" s="18">
        <v>1</v>
      </c>
      <c r="M286" s="22" t="s">
        <v>34</v>
      </c>
    </row>
    <row r="287" spans="1:13" x14ac:dyDescent="0.35">
      <c r="A287" s="18">
        <v>35</v>
      </c>
      <c r="B287" s="22" t="s">
        <v>39</v>
      </c>
      <c r="C287" s="18" t="s">
        <v>20</v>
      </c>
      <c r="D287" s="18">
        <v>1</v>
      </c>
      <c r="E287" s="18" t="s">
        <v>21</v>
      </c>
      <c r="F287" s="18" t="s">
        <v>24</v>
      </c>
      <c r="G287" s="18" t="s">
        <v>24</v>
      </c>
      <c r="H287" s="18">
        <v>10722</v>
      </c>
      <c r="I287" s="22" t="s">
        <v>42</v>
      </c>
      <c r="J287" s="18">
        <v>47</v>
      </c>
      <c r="K287" s="18" t="s">
        <v>14</v>
      </c>
      <c r="L287" s="18">
        <v>1</v>
      </c>
      <c r="M287" s="22" t="s">
        <v>34</v>
      </c>
    </row>
    <row r="288" spans="1:13" x14ac:dyDescent="0.35">
      <c r="A288" s="18">
        <v>26</v>
      </c>
      <c r="B288" s="22" t="s">
        <v>38</v>
      </c>
      <c r="C288" s="18" t="s">
        <v>19</v>
      </c>
      <c r="D288" s="18">
        <v>2</v>
      </c>
      <c r="E288" s="18" t="s">
        <v>21</v>
      </c>
      <c r="F288" s="18" t="s">
        <v>24</v>
      </c>
      <c r="G288" s="18" t="s">
        <v>24</v>
      </c>
      <c r="H288" s="18">
        <v>4788</v>
      </c>
      <c r="I288" s="22" t="s">
        <v>43</v>
      </c>
      <c r="J288" s="18">
        <v>48</v>
      </c>
      <c r="K288" s="18" t="s">
        <v>14</v>
      </c>
      <c r="L288" s="18">
        <v>1</v>
      </c>
      <c r="M288" s="22" t="s">
        <v>34</v>
      </c>
    </row>
    <row r="289" spans="1:13" x14ac:dyDescent="0.35">
      <c r="A289" s="18">
        <v>31</v>
      </c>
      <c r="B289" s="22" t="s">
        <v>39</v>
      </c>
      <c r="C289" s="18" t="s">
        <v>19</v>
      </c>
      <c r="D289" s="18">
        <v>3</v>
      </c>
      <c r="E289" s="18" t="s">
        <v>22</v>
      </c>
      <c r="F289" s="18" t="s">
        <v>27</v>
      </c>
      <c r="G289" s="18" t="s">
        <v>27</v>
      </c>
      <c r="H289" s="18">
        <v>7582</v>
      </c>
      <c r="I289" s="22" t="s">
        <v>42</v>
      </c>
      <c r="J289" s="18">
        <v>48</v>
      </c>
      <c r="K289" s="18" t="s">
        <v>18</v>
      </c>
      <c r="L289" s="18">
        <v>1</v>
      </c>
      <c r="M289" s="22" t="s">
        <v>34</v>
      </c>
    </row>
    <row r="290" spans="1:13" x14ac:dyDescent="0.35">
      <c r="A290" s="18">
        <v>49</v>
      </c>
      <c r="B290" s="22" t="s">
        <v>39</v>
      </c>
      <c r="C290" s="18" t="s">
        <v>20</v>
      </c>
      <c r="D290" s="18">
        <v>2</v>
      </c>
      <c r="E290" s="18" t="s">
        <v>21</v>
      </c>
      <c r="F290" s="18" t="s">
        <v>24</v>
      </c>
      <c r="G290" s="18" t="s">
        <v>27</v>
      </c>
      <c r="H290" s="18">
        <v>1092</v>
      </c>
      <c r="I290" s="22" t="s">
        <v>46</v>
      </c>
      <c r="J290" s="18">
        <v>12</v>
      </c>
      <c r="K290" s="18" t="s">
        <v>11</v>
      </c>
      <c r="L290" s="18">
        <v>1</v>
      </c>
      <c r="M290" s="22" t="s">
        <v>34</v>
      </c>
    </row>
    <row r="291" spans="1:13" x14ac:dyDescent="0.35">
      <c r="A291" s="18">
        <v>48</v>
      </c>
      <c r="B291" s="22" t="s">
        <v>39</v>
      </c>
      <c r="C291" s="18" t="s">
        <v>19</v>
      </c>
      <c r="D291" s="18">
        <v>2</v>
      </c>
      <c r="E291" s="18" t="s">
        <v>21</v>
      </c>
      <c r="F291" s="18" t="s">
        <v>24</v>
      </c>
      <c r="G291" s="18" t="s">
        <v>24</v>
      </c>
      <c r="H291" s="18">
        <v>1024</v>
      </c>
      <c r="I291" s="22" t="s">
        <v>46</v>
      </c>
      <c r="J291" s="18">
        <v>24</v>
      </c>
      <c r="K291" s="18" t="s">
        <v>11</v>
      </c>
      <c r="L291" s="18">
        <v>2</v>
      </c>
      <c r="M291" s="22" t="s">
        <v>45</v>
      </c>
    </row>
    <row r="292" spans="1:13" x14ac:dyDescent="0.35">
      <c r="A292" s="18">
        <v>26</v>
      </c>
      <c r="B292" s="22" t="s">
        <v>38</v>
      </c>
      <c r="C292" s="18" t="s">
        <v>19</v>
      </c>
      <c r="D292" s="18">
        <v>2</v>
      </c>
      <c r="E292" s="18" t="s">
        <v>21</v>
      </c>
      <c r="F292" s="18" t="s">
        <v>24</v>
      </c>
      <c r="G292" s="18" t="s">
        <v>10</v>
      </c>
      <c r="H292" s="18">
        <v>1076</v>
      </c>
      <c r="I292" s="22" t="s">
        <v>46</v>
      </c>
      <c r="J292" s="18">
        <v>12</v>
      </c>
      <c r="K292" s="18" t="s">
        <v>15</v>
      </c>
      <c r="L292" s="18">
        <v>1</v>
      </c>
      <c r="M292" s="22" t="s">
        <v>34</v>
      </c>
    </row>
    <row r="293" spans="1:13" x14ac:dyDescent="0.35">
      <c r="A293" s="18">
        <v>28</v>
      </c>
      <c r="B293" s="22" t="s">
        <v>38</v>
      </c>
      <c r="C293" s="18" t="s">
        <v>19</v>
      </c>
      <c r="D293" s="18">
        <v>3</v>
      </c>
      <c r="E293" s="18" t="s">
        <v>23</v>
      </c>
      <c r="F293" s="18" t="s">
        <v>24</v>
      </c>
      <c r="G293" s="18" t="s">
        <v>27</v>
      </c>
      <c r="H293" s="18">
        <v>9398</v>
      </c>
      <c r="I293" s="22" t="s">
        <v>42</v>
      </c>
      <c r="J293" s="18">
        <v>36</v>
      </c>
      <c r="K293" s="18" t="s">
        <v>14</v>
      </c>
      <c r="L293" s="18">
        <v>2</v>
      </c>
      <c r="M293" s="22" t="s">
        <v>45</v>
      </c>
    </row>
    <row r="294" spans="1:13" x14ac:dyDescent="0.35">
      <c r="A294" s="18">
        <v>44</v>
      </c>
      <c r="B294" s="22" t="s">
        <v>39</v>
      </c>
      <c r="C294" s="18" t="s">
        <v>20</v>
      </c>
      <c r="D294" s="18">
        <v>3</v>
      </c>
      <c r="E294" s="18" t="s">
        <v>22</v>
      </c>
      <c r="F294" s="18" t="s">
        <v>24</v>
      </c>
      <c r="G294" s="18" t="s">
        <v>24</v>
      </c>
      <c r="H294" s="18">
        <v>6419</v>
      </c>
      <c r="I294" s="22" t="s">
        <v>42</v>
      </c>
      <c r="J294" s="18">
        <v>24</v>
      </c>
      <c r="K294" s="18" t="s">
        <v>14</v>
      </c>
      <c r="L294" s="18">
        <v>1</v>
      </c>
      <c r="M294" s="22" t="s">
        <v>34</v>
      </c>
    </row>
    <row r="295" spans="1:13" x14ac:dyDescent="0.35">
      <c r="A295" s="18">
        <v>56</v>
      </c>
      <c r="B295" s="22" t="s">
        <v>37</v>
      </c>
      <c r="C295" s="18" t="s">
        <v>19</v>
      </c>
      <c r="D295" s="18">
        <v>2</v>
      </c>
      <c r="E295" s="18" t="s">
        <v>22</v>
      </c>
      <c r="F295" s="18" t="s">
        <v>24</v>
      </c>
      <c r="G295" s="18" t="s">
        <v>26</v>
      </c>
      <c r="H295" s="18">
        <v>4796</v>
      </c>
      <c r="I295" s="22" t="s">
        <v>43</v>
      </c>
      <c r="J295" s="18">
        <v>42</v>
      </c>
      <c r="K295" s="18" t="s">
        <v>14</v>
      </c>
      <c r="L295" s="18">
        <v>1</v>
      </c>
      <c r="M295" s="22" t="s">
        <v>34</v>
      </c>
    </row>
    <row r="296" spans="1:13" x14ac:dyDescent="0.35">
      <c r="A296" s="18">
        <v>46</v>
      </c>
      <c r="B296" s="22" t="s">
        <v>39</v>
      </c>
      <c r="C296" s="18" t="s">
        <v>19</v>
      </c>
      <c r="D296" s="18">
        <v>3</v>
      </c>
      <c r="E296" s="18" t="s">
        <v>21</v>
      </c>
      <c r="F296" s="18" t="s">
        <v>10</v>
      </c>
      <c r="G296" s="18" t="s">
        <v>10</v>
      </c>
      <c r="H296" s="18">
        <v>7629</v>
      </c>
      <c r="I296" s="22" t="s">
        <v>42</v>
      </c>
      <c r="J296" s="18">
        <v>48</v>
      </c>
      <c r="K296" s="18" t="s">
        <v>15</v>
      </c>
      <c r="L296" s="18">
        <v>1</v>
      </c>
      <c r="M296" s="22" t="s">
        <v>34</v>
      </c>
    </row>
    <row r="297" spans="1:13" x14ac:dyDescent="0.35">
      <c r="A297" s="18">
        <v>26</v>
      </c>
      <c r="B297" s="22" t="s">
        <v>38</v>
      </c>
      <c r="C297" s="18" t="s">
        <v>20</v>
      </c>
      <c r="D297" s="18">
        <v>2</v>
      </c>
      <c r="E297" s="18" t="s">
        <v>21</v>
      </c>
      <c r="F297" s="18" t="s">
        <v>24</v>
      </c>
      <c r="G297" s="18" t="s">
        <v>27</v>
      </c>
      <c r="H297" s="18">
        <v>9960</v>
      </c>
      <c r="I297" s="22" t="s">
        <v>42</v>
      </c>
      <c r="J297" s="18">
        <v>48</v>
      </c>
      <c r="K297" s="18" t="s">
        <v>13</v>
      </c>
      <c r="L297" s="18">
        <v>2</v>
      </c>
      <c r="M297" s="22" t="s">
        <v>45</v>
      </c>
    </row>
    <row r="298" spans="1:13" x14ac:dyDescent="0.35">
      <c r="A298" s="18">
        <v>20</v>
      </c>
      <c r="B298" s="22" t="s">
        <v>38</v>
      </c>
      <c r="C298" s="18" t="s">
        <v>20</v>
      </c>
      <c r="D298" s="18">
        <v>2</v>
      </c>
      <c r="E298" s="18" t="s">
        <v>23</v>
      </c>
      <c r="F298" s="18" t="s">
        <v>10</v>
      </c>
      <c r="G298" s="18" t="s">
        <v>10</v>
      </c>
      <c r="H298" s="18">
        <v>4675</v>
      </c>
      <c r="I298" s="22" t="s">
        <v>43</v>
      </c>
      <c r="J298" s="18">
        <v>12</v>
      </c>
      <c r="K298" s="18" t="s">
        <v>14</v>
      </c>
      <c r="L298" s="18">
        <v>1</v>
      </c>
      <c r="M298" s="22" t="s">
        <v>34</v>
      </c>
    </row>
    <row r="299" spans="1:13" x14ac:dyDescent="0.35">
      <c r="A299" s="18">
        <v>45</v>
      </c>
      <c r="B299" s="22" t="s">
        <v>39</v>
      </c>
      <c r="C299" s="18" t="s">
        <v>19</v>
      </c>
      <c r="D299" s="18">
        <v>1</v>
      </c>
      <c r="E299" s="18" t="s">
        <v>21</v>
      </c>
      <c r="F299" s="18" t="s">
        <v>10</v>
      </c>
      <c r="G299" s="18" t="s">
        <v>10</v>
      </c>
      <c r="H299" s="18">
        <v>1287</v>
      </c>
      <c r="I299" s="22" t="s">
        <v>46</v>
      </c>
      <c r="J299" s="18">
        <v>10</v>
      </c>
      <c r="K299" s="18" t="s">
        <v>14</v>
      </c>
      <c r="L299" s="18">
        <v>1</v>
      </c>
      <c r="M299" s="22" t="s">
        <v>34</v>
      </c>
    </row>
    <row r="300" spans="1:13" x14ac:dyDescent="0.35">
      <c r="A300" s="18">
        <v>43</v>
      </c>
      <c r="B300" s="22" t="s">
        <v>39</v>
      </c>
      <c r="C300" s="18" t="s">
        <v>19</v>
      </c>
      <c r="D300" s="18">
        <v>2</v>
      </c>
      <c r="E300" s="18" t="s">
        <v>21</v>
      </c>
      <c r="F300" s="18" t="s">
        <v>24</v>
      </c>
      <c r="G300" s="18" t="s">
        <v>10</v>
      </c>
      <c r="H300" s="18">
        <v>2515</v>
      </c>
      <c r="I300" s="22" t="s">
        <v>43</v>
      </c>
      <c r="J300" s="18">
        <v>18</v>
      </c>
      <c r="K300" s="18" t="s">
        <v>13</v>
      </c>
      <c r="L300" s="18">
        <v>1</v>
      </c>
      <c r="M300" s="22" t="s">
        <v>34</v>
      </c>
    </row>
    <row r="301" spans="1:13" x14ac:dyDescent="0.35">
      <c r="A301" s="18">
        <v>32</v>
      </c>
      <c r="B301" s="22" t="s">
        <v>39</v>
      </c>
      <c r="C301" s="18" t="s">
        <v>19</v>
      </c>
      <c r="D301" s="18">
        <v>2</v>
      </c>
      <c r="E301" s="18" t="s">
        <v>21</v>
      </c>
      <c r="F301" s="18" t="s">
        <v>26</v>
      </c>
      <c r="G301" s="18" t="s">
        <v>27</v>
      </c>
      <c r="H301" s="18">
        <v>2745</v>
      </c>
      <c r="I301" s="22" t="s">
        <v>43</v>
      </c>
      <c r="J301" s="18">
        <v>21</v>
      </c>
      <c r="K301" s="18" t="s">
        <v>13</v>
      </c>
      <c r="L301" s="18">
        <v>1</v>
      </c>
      <c r="M301" s="22" t="s">
        <v>34</v>
      </c>
    </row>
    <row r="302" spans="1:13" x14ac:dyDescent="0.35">
      <c r="A302" s="18">
        <v>54</v>
      </c>
      <c r="B302" s="22" t="s">
        <v>37</v>
      </c>
      <c r="C302" s="18" t="s">
        <v>20</v>
      </c>
      <c r="D302" s="18">
        <v>0</v>
      </c>
      <c r="E302" s="18" t="s">
        <v>21</v>
      </c>
      <c r="F302" s="18" t="s">
        <v>24</v>
      </c>
      <c r="G302" s="18" t="s">
        <v>10</v>
      </c>
      <c r="H302" s="18">
        <v>672</v>
      </c>
      <c r="I302" s="22" t="s">
        <v>46</v>
      </c>
      <c r="J302" s="18">
        <v>6</v>
      </c>
      <c r="K302" s="18" t="s">
        <v>14</v>
      </c>
      <c r="L302" s="18">
        <v>1</v>
      </c>
      <c r="M302" s="22" t="s">
        <v>34</v>
      </c>
    </row>
    <row r="303" spans="1:13" x14ac:dyDescent="0.35">
      <c r="A303" s="18">
        <v>42</v>
      </c>
      <c r="B303" s="22" t="s">
        <v>39</v>
      </c>
      <c r="C303" s="18" t="s">
        <v>20</v>
      </c>
      <c r="D303" s="18">
        <v>2</v>
      </c>
      <c r="E303" s="18" t="s">
        <v>21</v>
      </c>
      <c r="F303" s="18" t="s">
        <v>24</v>
      </c>
      <c r="G303" s="18" t="s">
        <v>27</v>
      </c>
      <c r="H303" s="18">
        <v>3804</v>
      </c>
      <c r="I303" s="22" t="s">
        <v>43</v>
      </c>
      <c r="J303" s="18">
        <v>36</v>
      </c>
      <c r="K303" s="18" t="s">
        <v>11</v>
      </c>
      <c r="L303" s="18">
        <v>2</v>
      </c>
      <c r="M303" s="22" t="s">
        <v>45</v>
      </c>
    </row>
    <row r="304" spans="1:13" x14ac:dyDescent="0.35">
      <c r="A304" s="18">
        <v>37</v>
      </c>
      <c r="B304" s="22" t="s">
        <v>39</v>
      </c>
      <c r="C304" s="18" t="s">
        <v>19</v>
      </c>
      <c r="D304" s="18">
        <v>1</v>
      </c>
      <c r="E304" s="18" t="s">
        <v>21</v>
      </c>
      <c r="F304" s="18" t="s">
        <v>10</v>
      </c>
      <c r="G304" s="18" t="s">
        <v>26</v>
      </c>
      <c r="H304" s="18">
        <v>1344</v>
      </c>
      <c r="I304" s="22" t="s">
        <v>46</v>
      </c>
      <c r="J304" s="18">
        <v>24</v>
      </c>
      <c r="K304" s="18" t="s">
        <v>14</v>
      </c>
      <c r="L304" s="18">
        <v>2</v>
      </c>
      <c r="M304" s="22" t="s">
        <v>45</v>
      </c>
    </row>
    <row r="305" spans="1:13" x14ac:dyDescent="0.35">
      <c r="A305" s="18">
        <v>49</v>
      </c>
      <c r="B305" s="22" t="s">
        <v>39</v>
      </c>
      <c r="C305" s="18" t="s">
        <v>19</v>
      </c>
      <c r="D305" s="18">
        <v>2</v>
      </c>
      <c r="E305" s="18" t="s">
        <v>21</v>
      </c>
      <c r="F305" s="18" t="s">
        <v>24</v>
      </c>
      <c r="G305" s="18" t="s">
        <v>24</v>
      </c>
      <c r="H305" s="18">
        <v>1038</v>
      </c>
      <c r="I305" s="22" t="s">
        <v>46</v>
      </c>
      <c r="J305" s="18">
        <v>10</v>
      </c>
      <c r="K305" s="18" t="s">
        <v>14</v>
      </c>
      <c r="L305" s="18">
        <v>1</v>
      </c>
      <c r="M305" s="22" t="s">
        <v>34</v>
      </c>
    </row>
    <row r="306" spans="1:13" x14ac:dyDescent="0.35">
      <c r="A306" s="18">
        <v>44</v>
      </c>
      <c r="B306" s="22" t="s">
        <v>39</v>
      </c>
      <c r="C306" s="18" t="s">
        <v>19</v>
      </c>
      <c r="D306" s="18">
        <v>2</v>
      </c>
      <c r="E306" s="18" t="s">
        <v>22</v>
      </c>
      <c r="F306" s="18" t="s">
        <v>25</v>
      </c>
      <c r="G306" s="18" t="s">
        <v>10</v>
      </c>
      <c r="H306" s="18">
        <v>10127</v>
      </c>
      <c r="I306" s="22" t="s">
        <v>42</v>
      </c>
      <c r="J306" s="18">
        <v>48</v>
      </c>
      <c r="K306" s="18" t="s">
        <v>14</v>
      </c>
      <c r="L306" s="18">
        <v>2</v>
      </c>
      <c r="M306" s="22" t="s">
        <v>45</v>
      </c>
    </row>
    <row r="307" spans="1:13" x14ac:dyDescent="0.35">
      <c r="A307" s="18">
        <v>33</v>
      </c>
      <c r="B307" s="22" t="s">
        <v>39</v>
      </c>
      <c r="C307" s="18" t="s">
        <v>19</v>
      </c>
      <c r="D307" s="18">
        <v>2</v>
      </c>
      <c r="E307" s="18" t="s">
        <v>21</v>
      </c>
      <c r="F307" s="18" t="s">
        <v>26</v>
      </c>
      <c r="G307" s="18" t="s">
        <v>10</v>
      </c>
      <c r="H307" s="18">
        <v>1543</v>
      </c>
      <c r="I307" s="22" t="s">
        <v>46</v>
      </c>
      <c r="J307" s="18">
        <v>6</v>
      </c>
      <c r="K307" s="18" t="s">
        <v>13</v>
      </c>
      <c r="L307" s="18">
        <v>1</v>
      </c>
      <c r="M307" s="22" t="s">
        <v>34</v>
      </c>
    </row>
    <row r="308" spans="1:13" x14ac:dyDescent="0.35">
      <c r="A308" s="18">
        <v>24</v>
      </c>
      <c r="B308" s="22" t="s">
        <v>38</v>
      </c>
      <c r="C308" s="18" t="s">
        <v>20</v>
      </c>
      <c r="D308" s="18">
        <v>1</v>
      </c>
      <c r="E308" s="18" t="s">
        <v>23</v>
      </c>
      <c r="F308" s="18" t="s">
        <v>10</v>
      </c>
      <c r="G308" s="18" t="s">
        <v>10</v>
      </c>
      <c r="H308" s="18">
        <v>4811</v>
      </c>
      <c r="I308" s="22" t="s">
        <v>43</v>
      </c>
      <c r="J308" s="18">
        <v>30</v>
      </c>
      <c r="K308" s="18" t="s">
        <v>14</v>
      </c>
      <c r="L308" s="18">
        <v>1</v>
      </c>
      <c r="M308" s="22" t="s">
        <v>34</v>
      </c>
    </row>
    <row r="309" spans="1:13" x14ac:dyDescent="0.35">
      <c r="A309" s="18">
        <v>33</v>
      </c>
      <c r="B309" s="22" t="s">
        <v>39</v>
      </c>
      <c r="C309" s="18" t="s">
        <v>19</v>
      </c>
      <c r="D309" s="18">
        <v>1</v>
      </c>
      <c r="E309" s="18" t="s">
        <v>21</v>
      </c>
      <c r="F309" s="18" t="s">
        <v>27</v>
      </c>
      <c r="G309" s="18" t="s">
        <v>24</v>
      </c>
      <c r="H309" s="18">
        <v>727</v>
      </c>
      <c r="I309" s="22" t="s">
        <v>46</v>
      </c>
      <c r="J309" s="18">
        <v>12</v>
      </c>
      <c r="K309" s="18" t="s">
        <v>11</v>
      </c>
      <c r="L309" s="18">
        <v>2</v>
      </c>
      <c r="M309" s="22" t="s">
        <v>45</v>
      </c>
    </row>
    <row r="310" spans="1:13" x14ac:dyDescent="0.35">
      <c r="A310" s="18">
        <v>24</v>
      </c>
      <c r="B310" s="22" t="s">
        <v>38</v>
      </c>
      <c r="C310" s="18" t="s">
        <v>20</v>
      </c>
      <c r="D310" s="18">
        <v>2</v>
      </c>
      <c r="E310" s="18" t="s">
        <v>21</v>
      </c>
      <c r="F310" s="18" t="s">
        <v>24</v>
      </c>
      <c r="G310" s="18" t="s">
        <v>27</v>
      </c>
      <c r="H310" s="18">
        <v>1237</v>
      </c>
      <c r="I310" s="22" t="s">
        <v>46</v>
      </c>
      <c r="J310" s="18">
        <v>8</v>
      </c>
      <c r="K310" s="18" t="s">
        <v>13</v>
      </c>
      <c r="L310" s="18">
        <v>2</v>
      </c>
      <c r="M310" s="22" t="s">
        <v>45</v>
      </c>
    </row>
    <row r="311" spans="1:13" x14ac:dyDescent="0.35">
      <c r="A311" s="18">
        <v>22</v>
      </c>
      <c r="B311" s="22" t="s">
        <v>38</v>
      </c>
      <c r="C311" s="18" t="s">
        <v>19</v>
      </c>
      <c r="D311" s="18">
        <v>1</v>
      </c>
      <c r="E311" s="18" t="s">
        <v>23</v>
      </c>
      <c r="F311" s="18" t="s">
        <v>24</v>
      </c>
      <c r="G311" s="18" t="s">
        <v>27</v>
      </c>
      <c r="H311" s="18">
        <v>276</v>
      </c>
      <c r="I311" s="22" t="s">
        <v>46</v>
      </c>
      <c r="J311" s="18">
        <v>9</v>
      </c>
      <c r="K311" s="18" t="s">
        <v>14</v>
      </c>
      <c r="L311" s="18">
        <v>1</v>
      </c>
      <c r="M311" s="22" t="s">
        <v>34</v>
      </c>
    </row>
    <row r="312" spans="1:13" x14ac:dyDescent="0.35">
      <c r="A312" s="18">
        <v>40</v>
      </c>
      <c r="B312" s="22" t="s">
        <v>39</v>
      </c>
      <c r="C312" s="18" t="s">
        <v>19</v>
      </c>
      <c r="D312" s="18">
        <v>0</v>
      </c>
      <c r="E312" s="18" t="s">
        <v>22</v>
      </c>
      <c r="F312" s="18" t="s">
        <v>10</v>
      </c>
      <c r="G312" s="18" t="s">
        <v>27</v>
      </c>
      <c r="H312" s="18">
        <v>5381</v>
      </c>
      <c r="I312" s="22" t="s">
        <v>42</v>
      </c>
      <c r="J312" s="18">
        <v>48</v>
      </c>
      <c r="K312" s="18" t="s">
        <v>18</v>
      </c>
      <c r="L312" s="18">
        <v>1</v>
      </c>
      <c r="M312" s="22" t="s">
        <v>34</v>
      </c>
    </row>
    <row r="313" spans="1:13" x14ac:dyDescent="0.35">
      <c r="A313" s="18">
        <v>25</v>
      </c>
      <c r="B313" s="22" t="s">
        <v>38</v>
      </c>
      <c r="C313" s="18" t="s">
        <v>19</v>
      </c>
      <c r="D313" s="18">
        <v>2</v>
      </c>
      <c r="E313" s="18" t="s">
        <v>21</v>
      </c>
      <c r="F313" s="18" t="s">
        <v>27</v>
      </c>
      <c r="G313" s="18" t="s">
        <v>10</v>
      </c>
      <c r="H313" s="18">
        <v>5511</v>
      </c>
      <c r="I313" s="22" t="s">
        <v>42</v>
      </c>
      <c r="J313" s="18">
        <v>24</v>
      </c>
      <c r="K313" s="18" t="s">
        <v>13</v>
      </c>
      <c r="L313" s="18">
        <v>1</v>
      </c>
      <c r="M313" s="22" t="s">
        <v>34</v>
      </c>
    </row>
    <row r="314" spans="1:13" x14ac:dyDescent="0.35">
      <c r="A314" s="18">
        <v>26</v>
      </c>
      <c r="B314" s="22" t="s">
        <v>38</v>
      </c>
      <c r="C314" s="18" t="s">
        <v>20</v>
      </c>
      <c r="D314" s="18">
        <v>2</v>
      </c>
      <c r="E314" s="18" t="s">
        <v>21</v>
      </c>
      <c r="F314" s="18" t="s">
        <v>24</v>
      </c>
      <c r="G314" s="18" t="s">
        <v>26</v>
      </c>
      <c r="H314" s="18">
        <v>3749</v>
      </c>
      <c r="I314" s="22" t="s">
        <v>43</v>
      </c>
      <c r="J314" s="18">
        <v>24</v>
      </c>
      <c r="K314" s="18" t="s">
        <v>13</v>
      </c>
      <c r="L314" s="18">
        <v>1</v>
      </c>
      <c r="M314" s="22" t="s">
        <v>34</v>
      </c>
    </row>
    <row r="315" spans="1:13" x14ac:dyDescent="0.35">
      <c r="A315" s="18">
        <v>25</v>
      </c>
      <c r="B315" s="22" t="s">
        <v>38</v>
      </c>
      <c r="C315" s="18" t="s">
        <v>19</v>
      </c>
      <c r="D315" s="18">
        <v>1</v>
      </c>
      <c r="E315" s="18" t="s">
        <v>21</v>
      </c>
      <c r="F315" s="18" t="s">
        <v>24</v>
      </c>
      <c r="G315" s="18" t="s">
        <v>27</v>
      </c>
      <c r="H315" s="18">
        <v>685</v>
      </c>
      <c r="I315" s="22" t="s">
        <v>46</v>
      </c>
      <c r="J315" s="18">
        <v>12</v>
      </c>
      <c r="K315" s="18" t="s">
        <v>14</v>
      </c>
      <c r="L315" s="18">
        <v>2</v>
      </c>
      <c r="M315" s="22" t="s">
        <v>45</v>
      </c>
    </row>
    <row r="316" spans="1:13" x14ac:dyDescent="0.35">
      <c r="A316" s="18">
        <v>29</v>
      </c>
      <c r="B316" s="22" t="s">
        <v>38</v>
      </c>
      <c r="C316" s="18" t="s">
        <v>19</v>
      </c>
      <c r="D316" s="18">
        <v>1</v>
      </c>
      <c r="E316" s="18" t="s">
        <v>21</v>
      </c>
      <c r="F316" s="18" t="s">
        <v>10</v>
      </c>
      <c r="G316" s="18" t="s">
        <v>26</v>
      </c>
      <c r="H316" s="18">
        <v>1494</v>
      </c>
      <c r="I316" s="22" t="s">
        <v>46</v>
      </c>
      <c r="J316" s="18">
        <v>4</v>
      </c>
      <c r="K316" s="18" t="s">
        <v>14</v>
      </c>
      <c r="L316" s="18">
        <v>1</v>
      </c>
      <c r="M316" s="22" t="s">
        <v>34</v>
      </c>
    </row>
    <row r="317" spans="1:13" x14ac:dyDescent="0.35">
      <c r="A317" s="18">
        <v>31</v>
      </c>
      <c r="B317" s="22" t="s">
        <v>39</v>
      </c>
      <c r="C317" s="18" t="s">
        <v>19</v>
      </c>
      <c r="D317" s="18">
        <v>2</v>
      </c>
      <c r="E317" s="18" t="s">
        <v>21</v>
      </c>
      <c r="F317" s="18" t="s">
        <v>24</v>
      </c>
      <c r="G317" s="18" t="s">
        <v>24</v>
      </c>
      <c r="H317" s="18">
        <v>2746</v>
      </c>
      <c r="I317" s="22" t="s">
        <v>43</v>
      </c>
      <c r="J317" s="18">
        <v>36</v>
      </c>
      <c r="K317" s="18" t="s">
        <v>13</v>
      </c>
      <c r="L317" s="18">
        <v>2</v>
      </c>
      <c r="M317" s="22" t="s">
        <v>45</v>
      </c>
    </row>
    <row r="318" spans="1:13" x14ac:dyDescent="0.35">
      <c r="A318" s="18">
        <v>38</v>
      </c>
      <c r="B318" s="22" t="s">
        <v>39</v>
      </c>
      <c r="C318" s="18" t="s">
        <v>19</v>
      </c>
      <c r="D318" s="18">
        <v>1</v>
      </c>
      <c r="E318" s="18" t="s">
        <v>21</v>
      </c>
      <c r="F318" s="18" t="s">
        <v>24</v>
      </c>
      <c r="G318" s="18" t="s">
        <v>24</v>
      </c>
      <c r="H318" s="18">
        <v>708</v>
      </c>
      <c r="I318" s="22" t="s">
        <v>46</v>
      </c>
      <c r="J318" s="18">
        <v>12</v>
      </c>
      <c r="K318" s="18" t="s">
        <v>13</v>
      </c>
      <c r="L318" s="18">
        <v>1</v>
      </c>
      <c r="M318" s="22" t="s">
        <v>34</v>
      </c>
    </row>
    <row r="319" spans="1:13" x14ac:dyDescent="0.35">
      <c r="A319" s="18">
        <v>48</v>
      </c>
      <c r="B319" s="22" t="s">
        <v>39</v>
      </c>
      <c r="C319" s="18" t="s">
        <v>20</v>
      </c>
      <c r="D319" s="18">
        <v>1</v>
      </c>
      <c r="E319" s="18" t="s">
        <v>21</v>
      </c>
      <c r="F319" s="18" t="s">
        <v>10</v>
      </c>
      <c r="G319" s="18" t="s">
        <v>27</v>
      </c>
      <c r="H319" s="18">
        <v>4351</v>
      </c>
      <c r="I319" s="22" t="s">
        <v>43</v>
      </c>
      <c r="J319" s="18">
        <v>24</v>
      </c>
      <c r="K319" s="18" t="s">
        <v>13</v>
      </c>
      <c r="L319" s="18">
        <v>1</v>
      </c>
      <c r="M319" s="22" t="s">
        <v>34</v>
      </c>
    </row>
    <row r="320" spans="1:13" x14ac:dyDescent="0.35">
      <c r="A320" s="18">
        <v>32</v>
      </c>
      <c r="B320" s="22" t="s">
        <v>39</v>
      </c>
      <c r="C320" s="18" t="s">
        <v>19</v>
      </c>
      <c r="D320" s="18">
        <v>2</v>
      </c>
      <c r="E320" s="18" t="s">
        <v>21</v>
      </c>
      <c r="F320" s="18" t="s">
        <v>24</v>
      </c>
      <c r="G320" s="18" t="s">
        <v>10</v>
      </c>
      <c r="H320" s="18">
        <v>701</v>
      </c>
      <c r="I320" s="22" t="s">
        <v>46</v>
      </c>
      <c r="J320" s="18">
        <v>12</v>
      </c>
      <c r="K320" s="18" t="s">
        <v>12</v>
      </c>
      <c r="L320" s="18">
        <v>1</v>
      </c>
      <c r="M320" s="22" t="s">
        <v>34</v>
      </c>
    </row>
    <row r="321" spans="1:13" x14ac:dyDescent="0.35">
      <c r="A321" s="18">
        <v>27</v>
      </c>
      <c r="B321" s="22" t="s">
        <v>38</v>
      </c>
      <c r="C321" s="18" t="s">
        <v>20</v>
      </c>
      <c r="D321" s="18">
        <v>1</v>
      </c>
      <c r="E321" s="18" t="s">
        <v>21</v>
      </c>
      <c r="F321" s="18" t="s">
        <v>24</v>
      </c>
      <c r="G321" s="18" t="s">
        <v>24</v>
      </c>
      <c r="H321" s="18">
        <v>3643</v>
      </c>
      <c r="I321" s="22" t="s">
        <v>43</v>
      </c>
      <c r="J321" s="18">
        <v>15</v>
      </c>
      <c r="K321" s="18" t="s">
        <v>13</v>
      </c>
      <c r="L321" s="18">
        <v>1</v>
      </c>
      <c r="M321" s="22" t="s">
        <v>34</v>
      </c>
    </row>
    <row r="322" spans="1:13" x14ac:dyDescent="0.35">
      <c r="A322" s="18">
        <v>28</v>
      </c>
      <c r="B322" s="22" t="s">
        <v>38</v>
      </c>
      <c r="C322" s="18" t="s">
        <v>19</v>
      </c>
      <c r="D322" s="18">
        <v>3</v>
      </c>
      <c r="E322" s="18" t="s">
        <v>21</v>
      </c>
      <c r="F322" s="18" t="s">
        <v>24</v>
      </c>
      <c r="G322" s="18" t="s">
        <v>27</v>
      </c>
      <c r="H322" s="18">
        <v>4249</v>
      </c>
      <c r="I322" s="22" t="s">
        <v>43</v>
      </c>
      <c r="J322" s="18">
        <v>30</v>
      </c>
      <c r="K322" s="18" t="s">
        <v>14</v>
      </c>
      <c r="L322" s="18">
        <v>2</v>
      </c>
      <c r="M322" s="22" t="s">
        <v>45</v>
      </c>
    </row>
    <row r="323" spans="1:13" x14ac:dyDescent="0.35">
      <c r="A323" s="18">
        <v>32</v>
      </c>
      <c r="B323" s="22" t="s">
        <v>39</v>
      </c>
      <c r="C323" s="18" t="s">
        <v>19</v>
      </c>
      <c r="D323" s="18">
        <v>2</v>
      </c>
      <c r="E323" s="18" t="s">
        <v>21</v>
      </c>
      <c r="F323" s="18" t="s">
        <v>24</v>
      </c>
      <c r="G323" s="18" t="s">
        <v>24</v>
      </c>
      <c r="H323" s="18">
        <v>1938</v>
      </c>
      <c r="I323" s="22" t="s">
        <v>46</v>
      </c>
      <c r="J323" s="18">
        <v>24</v>
      </c>
      <c r="K323" s="18" t="s">
        <v>11</v>
      </c>
      <c r="L323" s="18">
        <v>2</v>
      </c>
      <c r="M323" s="22" t="s">
        <v>45</v>
      </c>
    </row>
    <row r="324" spans="1:13" x14ac:dyDescent="0.35">
      <c r="A324" s="18">
        <v>34</v>
      </c>
      <c r="B324" s="22" t="s">
        <v>39</v>
      </c>
      <c r="C324" s="18" t="s">
        <v>19</v>
      </c>
      <c r="D324" s="18">
        <v>3</v>
      </c>
      <c r="E324" s="18" t="s">
        <v>22</v>
      </c>
      <c r="F324" s="18" t="s">
        <v>24</v>
      </c>
      <c r="G324" s="18" t="s">
        <v>24</v>
      </c>
      <c r="H324" s="18">
        <v>2910</v>
      </c>
      <c r="I324" s="22" t="s">
        <v>43</v>
      </c>
      <c r="J324" s="18">
        <v>24</v>
      </c>
      <c r="K324" s="18" t="s">
        <v>14</v>
      </c>
      <c r="L324" s="18">
        <v>1</v>
      </c>
      <c r="M324" s="22" t="s">
        <v>34</v>
      </c>
    </row>
    <row r="325" spans="1:13" x14ac:dyDescent="0.35">
      <c r="A325" s="18">
        <v>28</v>
      </c>
      <c r="B325" s="22" t="s">
        <v>38</v>
      </c>
      <c r="C325" s="18" t="s">
        <v>19</v>
      </c>
      <c r="D325" s="18">
        <v>2</v>
      </c>
      <c r="E325" s="18" t="s">
        <v>21</v>
      </c>
      <c r="F325" s="18" t="s">
        <v>26</v>
      </c>
      <c r="G325" s="18" t="s">
        <v>24</v>
      </c>
      <c r="H325" s="18">
        <v>2659</v>
      </c>
      <c r="I325" s="22" t="s">
        <v>43</v>
      </c>
      <c r="J325" s="18">
        <v>18</v>
      </c>
      <c r="K325" s="18" t="s">
        <v>13</v>
      </c>
      <c r="L325" s="18">
        <v>1</v>
      </c>
      <c r="M325" s="22" t="s">
        <v>34</v>
      </c>
    </row>
    <row r="326" spans="1:13" x14ac:dyDescent="0.35">
      <c r="A326" s="18">
        <v>36</v>
      </c>
      <c r="B326" s="22" t="s">
        <v>39</v>
      </c>
      <c r="C326" s="18" t="s">
        <v>20</v>
      </c>
      <c r="D326" s="18">
        <v>2</v>
      </c>
      <c r="E326" s="18" t="s">
        <v>21</v>
      </c>
      <c r="F326" s="18" t="s">
        <v>24</v>
      </c>
      <c r="G326" s="18" t="s">
        <v>10</v>
      </c>
      <c r="H326" s="18">
        <v>1028</v>
      </c>
      <c r="I326" s="22" t="s">
        <v>46</v>
      </c>
      <c r="J326" s="18">
        <v>18</v>
      </c>
      <c r="K326" s="18" t="s">
        <v>14</v>
      </c>
      <c r="L326" s="18">
        <v>1</v>
      </c>
      <c r="M326" s="22" t="s">
        <v>34</v>
      </c>
    </row>
    <row r="327" spans="1:13" x14ac:dyDescent="0.35">
      <c r="A327" s="18">
        <v>39</v>
      </c>
      <c r="B327" s="22" t="s">
        <v>39</v>
      </c>
      <c r="C327" s="18" t="s">
        <v>19</v>
      </c>
      <c r="D327" s="18">
        <v>1</v>
      </c>
      <c r="E327" s="18" t="s">
        <v>21</v>
      </c>
      <c r="F327" s="18" t="s">
        <v>24</v>
      </c>
      <c r="G327" s="18" t="s">
        <v>24</v>
      </c>
      <c r="H327" s="18">
        <v>3398</v>
      </c>
      <c r="I327" s="22" t="s">
        <v>43</v>
      </c>
      <c r="J327" s="18">
        <v>8</v>
      </c>
      <c r="K327" s="18" t="s">
        <v>14</v>
      </c>
      <c r="L327" s="18">
        <v>1</v>
      </c>
      <c r="M327" s="22" t="s">
        <v>34</v>
      </c>
    </row>
    <row r="328" spans="1:13" x14ac:dyDescent="0.35">
      <c r="A328" s="18">
        <v>49</v>
      </c>
      <c r="B328" s="22" t="s">
        <v>39</v>
      </c>
      <c r="C328" s="18" t="s">
        <v>19</v>
      </c>
      <c r="D328" s="18">
        <v>2</v>
      </c>
      <c r="E328" s="18" t="s">
        <v>23</v>
      </c>
      <c r="F328" s="18" t="s">
        <v>10</v>
      </c>
      <c r="G328" s="18" t="s">
        <v>10</v>
      </c>
      <c r="H328" s="18">
        <v>5801</v>
      </c>
      <c r="I328" s="22" t="s">
        <v>42</v>
      </c>
      <c r="J328" s="18">
        <v>12</v>
      </c>
      <c r="K328" s="18" t="s">
        <v>13</v>
      </c>
      <c r="L328" s="18">
        <v>1</v>
      </c>
      <c r="M328" s="22" t="s">
        <v>34</v>
      </c>
    </row>
    <row r="329" spans="1:13" x14ac:dyDescent="0.35">
      <c r="A329" s="18">
        <v>34</v>
      </c>
      <c r="B329" s="22" t="s">
        <v>39</v>
      </c>
      <c r="C329" s="18" t="s">
        <v>20</v>
      </c>
      <c r="D329" s="18">
        <v>2</v>
      </c>
      <c r="E329" s="18" t="s">
        <v>21</v>
      </c>
      <c r="F329" s="18" t="s">
        <v>26</v>
      </c>
      <c r="G329" s="18" t="s">
        <v>10</v>
      </c>
      <c r="H329" s="18">
        <v>1525</v>
      </c>
      <c r="I329" s="22" t="s">
        <v>46</v>
      </c>
      <c r="J329" s="18">
        <v>24</v>
      </c>
      <c r="K329" s="18" t="s">
        <v>14</v>
      </c>
      <c r="L329" s="18">
        <v>1</v>
      </c>
      <c r="M329" s="22" t="s">
        <v>34</v>
      </c>
    </row>
    <row r="330" spans="1:13" x14ac:dyDescent="0.35">
      <c r="A330" s="18">
        <v>31</v>
      </c>
      <c r="B330" s="22" t="s">
        <v>39</v>
      </c>
      <c r="C330" s="18" t="s">
        <v>19</v>
      </c>
      <c r="D330" s="18">
        <v>2</v>
      </c>
      <c r="E330" s="18" t="s">
        <v>21</v>
      </c>
      <c r="F330" s="18" t="s">
        <v>24</v>
      </c>
      <c r="G330" s="18" t="s">
        <v>26</v>
      </c>
      <c r="H330" s="18">
        <v>4473</v>
      </c>
      <c r="I330" s="22" t="s">
        <v>43</v>
      </c>
      <c r="J330" s="18">
        <v>36</v>
      </c>
      <c r="K330" s="18" t="s">
        <v>11</v>
      </c>
      <c r="L330" s="18">
        <v>1</v>
      </c>
      <c r="M330" s="22" t="s">
        <v>34</v>
      </c>
    </row>
    <row r="331" spans="1:13" x14ac:dyDescent="0.35">
      <c r="A331" s="18">
        <v>28</v>
      </c>
      <c r="B331" s="22" t="s">
        <v>38</v>
      </c>
      <c r="C331" s="18" t="s">
        <v>19</v>
      </c>
      <c r="D331" s="18">
        <v>2</v>
      </c>
      <c r="E331" s="18" t="s">
        <v>21</v>
      </c>
      <c r="F331" s="18" t="s">
        <v>24</v>
      </c>
      <c r="G331" s="18" t="s">
        <v>27</v>
      </c>
      <c r="H331" s="18">
        <v>1068</v>
      </c>
      <c r="I331" s="22" t="s">
        <v>46</v>
      </c>
      <c r="J331" s="18">
        <v>6</v>
      </c>
      <c r="K331" s="18" t="s">
        <v>11</v>
      </c>
      <c r="L331" s="18">
        <v>1</v>
      </c>
      <c r="M331" s="22" t="s">
        <v>34</v>
      </c>
    </row>
    <row r="332" spans="1:13" x14ac:dyDescent="0.35">
      <c r="A332" s="18">
        <v>75</v>
      </c>
      <c r="B332" s="22" t="s">
        <v>37</v>
      </c>
      <c r="C332" s="18" t="s">
        <v>19</v>
      </c>
      <c r="D332" s="18">
        <v>3</v>
      </c>
      <c r="E332" s="18" t="s">
        <v>22</v>
      </c>
      <c r="F332" s="18" t="s">
        <v>24</v>
      </c>
      <c r="G332" s="18" t="s">
        <v>24</v>
      </c>
      <c r="H332" s="18">
        <v>6615</v>
      </c>
      <c r="I332" s="22" t="s">
        <v>42</v>
      </c>
      <c r="J332" s="18">
        <v>24</v>
      </c>
      <c r="K332" s="18" t="s">
        <v>14</v>
      </c>
      <c r="L332" s="18">
        <v>1</v>
      </c>
      <c r="M332" s="22" t="s">
        <v>34</v>
      </c>
    </row>
    <row r="333" spans="1:13" x14ac:dyDescent="0.35">
      <c r="A333" s="18">
        <v>30</v>
      </c>
      <c r="B333" s="22" t="s">
        <v>39</v>
      </c>
      <c r="C333" s="18" t="s">
        <v>20</v>
      </c>
      <c r="D333" s="18">
        <v>2</v>
      </c>
      <c r="E333" s="18" t="s">
        <v>21</v>
      </c>
      <c r="F333" s="18" t="s">
        <v>27</v>
      </c>
      <c r="G333" s="18" t="s">
        <v>10</v>
      </c>
      <c r="H333" s="18">
        <v>1864</v>
      </c>
      <c r="I333" s="22" t="s">
        <v>46</v>
      </c>
      <c r="J333" s="18">
        <v>18</v>
      </c>
      <c r="K333" s="18" t="s">
        <v>12</v>
      </c>
      <c r="L333" s="18">
        <v>2</v>
      </c>
      <c r="M333" s="22" t="s">
        <v>45</v>
      </c>
    </row>
    <row r="334" spans="1:13" x14ac:dyDescent="0.35">
      <c r="A334" s="18">
        <v>24</v>
      </c>
      <c r="B334" s="22" t="s">
        <v>38</v>
      </c>
      <c r="C334" s="18" t="s">
        <v>20</v>
      </c>
      <c r="D334" s="18">
        <v>3</v>
      </c>
      <c r="E334" s="18" t="s">
        <v>21</v>
      </c>
      <c r="F334" s="18" t="s">
        <v>27</v>
      </c>
      <c r="G334" s="18" t="s">
        <v>27</v>
      </c>
      <c r="H334" s="18">
        <v>7408</v>
      </c>
      <c r="I334" s="22" t="s">
        <v>42</v>
      </c>
      <c r="J334" s="18">
        <v>60</v>
      </c>
      <c r="K334" s="18" t="s">
        <v>14</v>
      </c>
      <c r="L334" s="18">
        <v>2</v>
      </c>
      <c r="M334" s="22" t="s">
        <v>45</v>
      </c>
    </row>
    <row r="335" spans="1:13" x14ac:dyDescent="0.35">
      <c r="A335" s="18">
        <v>24</v>
      </c>
      <c r="B335" s="22" t="s">
        <v>38</v>
      </c>
      <c r="C335" s="18" t="s">
        <v>20</v>
      </c>
      <c r="D335" s="18">
        <v>1</v>
      </c>
      <c r="E335" s="18" t="s">
        <v>23</v>
      </c>
      <c r="F335" s="18" t="s">
        <v>27</v>
      </c>
      <c r="G335" s="18" t="s">
        <v>10</v>
      </c>
      <c r="H335" s="18">
        <v>11590</v>
      </c>
      <c r="I335" s="22" t="s">
        <v>42</v>
      </c>
      <c r="J335" s="18">
        <v>48</v>
      </c>
      <c r="K335" s="18" t="s">
        <v>14</v>
      </c>
      <c r="L335" s="18">
        <v>2</v>
      </c>
      <c r="M335" s="22" t="s">
        <v>45</v>
      </c>
    </row>
    <row r="336" spans="1:13" x14ac:dyDescent="0.35">
      <c r="A336" s="18">
        <v>23</v>
      </c>
      <c r="B336" s="22" t="s">
        <v>38</v>
      </c>
      <c r="C336" s="18" t="s">
        <v>19</v>
      </c>
      <c r="D336" s="18">
        <v>2</v>
      </c>
      <c r="E336" s="18" t="s">
        <v>23</v>
      </c>
      <c r="F336" s="18" t="s">
        <v>24</v>
      </c>
      <c r="G336" s="18" t="s">
        <v>24</v>
      </c>
      <c r="H336" s="18">
        <v>4110</v>
      </c>
      <c r="I336" s="22" t="s">
        <v>43</v>
      </c>
      <c r="J336" s="18">
        <v>24</v>
      </c>
      <c r="K336" s="18" t="s">
        <v>13</v>
      </c>
      <c r="L336" s="18">
        <v>2</v>
      </c>
      <c r="M336" s="22" t="s">
        <v>45</v>
      </c>
    </row>
    <row r="337" spans="1:13" x14ac:dyDescent="0.35">
      <c r="A337" s="18">
        <v>44</v>
      </c>
      <c r="B337" s="22" t="s">
        <v>39</v>
      </c>
      <c r="C337" s="18" t="s">
        <v>19</v>
      </c>
      <c r="D337" s="18">
        <v>3</v>
      </c>
      <c r="E337" s="18" t="s">
        <v>23</v>
      </c>
      <c r="F337" s="18" t="s">
        <v>24</v>
      </c>
      <c r="G337" s="18" t="s">
        <v>24</v>
      </c>
      <c r="H337" s="18">
        <v>3384</v>
      </c>
      <c r="I337" s="22" t="s">
        <v>43</v>
      </c>
      <c r="J337" s="18">
        <v>6</v>
      </c>
      <c r="K337" s="18" t="s">
        <v>13</v>
      </c>
      <c r="L337" s="18">
        <v>2</v>
      </c>
      <c r="M337" s="22" t="s">
        <v>45</v>
      </c>
    </row>
    <row r="338" spans="1:13" x14ac:dyDescent="0.35">
      <c r="A338" s="18">
        <v>23</v>
      </c>
      <c r="B338" s="22" t="s">
        <v>38</v>
      </c>
      <c r="C338" s="18" t="s">
        <v>20</v>
      </c>
      <c r="D338" s="18">
        <v>1</v>
      </c>
      <c r="E338" s="18" t="s">
        <v>21</v>
      </c>
      <c r="F338" s="18" t="s">
        <v>24</v>
      </c>
      <c r="G338" s="18" t="s">
        <v>27</v>
      </c>
      <c r="H338" s="18">
        <v>2101</v>
      </c>
      <c r="I338" s="22" t="s">
        <v>43</v>
      </c>
      <c r="J338" s="18">
        <v>13</v>
      </c>
      <c r="K338" s="18" t="s">
        <v>11</v>
      </c>
      <c r="L338" s="18">
        <v>1</v>
      </c>
      <c r="M338" s="22" t="s">
        <v>34</v>
      </c>
    </row>
    <row r="339" spans="1:13" x14ac:dyDescent="0.35">
      <c r="A339" s="18">
        <v>24</v>
      </c>
      <c r="B339" s="22" t="s">
        <v>38</v>
      </c>
      <c r="C339" s="18" t="s">
        <v>20</v>
      </c>
      <c r="D339" s="18">
        <v>2</v>
      </c>
      <c r="E339" s="18" t="s">
        <v>23</v>
      </c>
      <c r="F339" s="18" t="s">
        <v>10</v>
      </c>
      <c r="G339" s="18" t="s">
        <v>24</v>
      </c>
      <c r="H339" s="18">
        <v>1275</v>
      </c>
      <c r="I339" s="22" t="s">
        <v>46</v>
      </c>
      <c r="J339" s="18">
        <v>15</v>
      </c>
      <c r="K339" s="18" t="s">
        <v>16</v>
      </c>
      <c r="L339" s="18">
        <v>2</v>
      </c>
      <c r="M339" s="22" t="s">
        <v>45</v>
      </c>
    </row>
    <row r="340" spans="1:13" x14ac:dyDescent="0.35">
      <c r="A340" s="18">
        <v>28</v>
      </c>
      <c r="B340" s="22" t="s">
        <v>38</v>
      </c>
      <c r="C340" s="18" t="s">
        <v>19</v>
      </c>
      <c r="D340" s="18">
        <v>2</v>
      </c>
      <c r="E340" s="18" t="s">
        <v>21</v>
      </c>
      <c r="F340" s="18" t="s">
        <v>24</v>
      </c>
      <c r="G340" s="18" t="s">
        <v>24</v>
      </c>
      <c r="H340" s="18">
        <v>4169</v>
      </c>
      <c r="I340" s="22" t="s">
        <v>43</v>
      </c>
      <c r="J340" s="18">
        <v>24</v>
      </c>
      <c r="K340" s="18" t="s">
        <v>13</v>
      </c>
      <c r="L340" s="18">
        <v>1</v>
      </c>
      <c r="M340" s="22" t="s">
        <v>34</v>
      </c>
    </row>
    <row r="341" spans="1:13" x14ac:dyDescent="0.35">
      <c r="A341" s="18">
        <v>31</v>
      </c>
      <c r="B341" s="22" t="s">
        <v>39</v>
      </c>
      <c r="C341" s="18" t="s">
        <v>19</v>
      </c>
      <c r="D341" s="18">
        <v>1</v>
      </c>
      <c r="E341" s="18" t="s">
        <v>21</v>
      </c>
      <c r="F341" s="18" t="s">
        <v>24</v>
      </c>
      <c r="G341" s="18" t="s">
        <v>27</v>
      </c>
      <c r="H341" s="18">
        <v>1521</v>
      </c>
      <c r="I341" s="22" t="s">
        <v>46</v>
      </c>
      <c r="J341" s="18">
        <v>10</v>
      </c>
      <c r="K341" s="18" t="s">
        <v>13</v>
      </c>
      <c r="L341" s="18">
        <v>1</v>
      </c>
      <c r="M341" s="22" t="s">
        <v>34</v>
      </c>
    </row>
    <row r="342" spans="1:13" x14ac:dyDescent="0.35">
      <c r="A342" s="18">
        <v>24</v>
      </c>
      <c r="B342" s="22" t="s">
        <v>38</v>
      </c>
      <c r="C342" s="18" t="s">
        <v>20</v>
      </c>
      <c r="D342" s="18">
        <v>2</v>
      </c>
      <c r="E342" s="18" t="s">
        <v>22</v>
      </c>
      <c r="F342" s="18" t="s">
        <v>24</v>
      </c>
      <c r="G342" s="18" t="s">
        <v>27</v>
      </c>
      <c r="H342" s="18">
        <v>5743</v>
      </c>
      <c r="I342" s="22" t="s">
        <v>42</v>
      </c>
      <c r="J342" s="18">
        <v>24</v>
      </c>
      <c r="K342" s="18" t="s">
        <v>12</v>
      </c>
      <c r="L342" s="18">
        <v>1</v>
      </c>
      <c r="M342" s="22" t="s">
        <v>34</v>
      </c>
    </row>
    <row r="343" spans="1:13" x14ac:dyDescent="0.35">
      <c r="A343" s="18">
        <v>26</v>
      </c>
      <c r="B343" s="22" t="s">
        <v>38</v>
      </c>
      <c r="C343" s="18" t="s">
        <v>20</v>
      </c>
      <c r="D343" s="18">
        <v>1</v>
      </c>
      <c r="E343" s="18" t="s">
        <v>23</v>
      </c>
      <c r="F343" s="18" t="s">
        <v>24</v>
      </c>
      <c r="G343" s="18" t="s">
        <v>24</v>
      </c>
      <c r="H343" s="18">
        <v>3599</v>
      </c>
      <c r="I343" s="22" t="s">
        <v>43</v>
      </c>
      <c r="J343" s="18">
        <v>21</v>
      </c>
      <c r="K343" s="18" t="s">
        <v>13</v>
      </c>
      <c r="L343" s="18">
        <v>1</v>
      </c>
      <c r="M343" s="22" t="s">
        <v>34</v>
      </c>
    </row>
    <row r="344" spans="1:13" x14ac:dyDescent="0.35">
      <c r="A344" s="18">
        <v>25</v>
      </c>
      <c r="B344" s="22" t="s">
        <v>38</v>
      </c>
      <c r="C344" s="18" t="s">
        <v>19</v>
      </c>
      <c r="D344" s="18">
        <v>2</v>
      </c>
      <c r="E344" s="18" t="s">
        <v>23</v>
      </c>
      <c r="F344" s="18" t="s">
        <v>25</v>
      </c>
      <c r="G344" s="18" t="s">
        <v>27</v>
      </c>
      <c r="H344" s="18">
        <v>3213</v>
      </c>
      <c r="I344" s="22" t="s">
        <v>43</v>
      </c>
      <c r="J344" s="18">
        <v>18</v>
      </c>
      <c r="K344" s="18" t="s">
        <v>11</v>
      </c>
      <c r="L344" s="18">
        <v>1</v>
      </c>
      <c r="M344" s="22" t="s">
        <v>34</v>
      </c>
    </row>
    <row r="345" spans="1:13" x14ac:dyDescent="0.35">
      <c r="A345" s="18">
        <v>33</v>
      </c>
      <c r="B345" s="22" t="s">
        <v>39</v>
      </c>
      <c r="C345" s="18" t="s">
        <v>19</v>
      </c>
      <c r="D345" s="18">
        <v>3</v>
      </c>
      <c r="E345" s="18" t="s">
        <v>21</v>
      </c>
      <c r="F345" s="18" t="s">
        <v>24</v>
      </c>
      <c r="G345" s="18" t="s">
        <v>27</v>
      </c>
      <c r="H345" s="18">
        <v>4439</v>
      </c>
      <c r="I345" s="22" t="s">
        <v>43</v>
      </c>
      <c r="J345" s="18">
        <v>18</v>
      </c>
      <c r="K345" s="18" t="s">
        <v>15</v>
      </c>
      <c r="L345" s="18">
        <v>1</v>
      </c>
      <c r="M345" s="22" t="s">
        <v>34</v>
      </c>
    </row>
    <row r="346" spans="1:13" x14ac:dyDescent="0.35">
      <c r="A346" s="18">
        <v>37</v>
      </c>
      <c r="B346" s="22" t="s">
        <v>39</v>
      </c>
      <c r="C346" s="18" t="s">
        <v>19</v>
      </c>
      <c r="D346" s="18">
        <v>1</v>
      </c>
      <c r="E346" s="18" t="s">
        <v>21</v>
      </c>
      <c r="F346" s="18" t="s">
        <v>24</v>
      </c>
      <c r="G346" s="18" t="s">
        <v>26</v>
      </c>
      <c r="H346" s="18">
        <v>3949</v>
      </c>
      <c r="I346" s="22" t="s">
        <v>43</v>
      </c>
      <c r="J346" s="18">
        <v>10</v>
      </c>
      <c r="K346" s="18" t="s">
        <v>14</v>
      </c>
      <c r="L346" s="18">
        <v>1</v>
      </c>
      <c r="M346" s="22" t="s">
        <v>34</v>
      </c>
    </row>
    <row r="347" spans="1:13" x14ac:dyDescent="0.35">
      <c r="A347" s="18">
        <v>43</v>
      </c>
      <c r="B347" s="22" t="s">
        <v>39</v>
      </c>
      <c r="C347" s="18" t="s">
        <v>20</v>
      </c>
      <c r="D347" s="18">
        <v>1</v>
      </c>
      <c r="E347" s="18" t="s">
        <v>21</v>
      </c>
      <c r="F347" s="18" t="s">
        <v>24</v>
      </c>
      <c r="G347" s="18" t="s">
        <v>10</v>
      </c>
      <c r="H347" s="18">
        <v>1459</v>
      </c>
      <c r="I347" s="22" t="s">
        <v>46</v>
      </c>
      <c r="J347" s="18">
        <v>15</v>
      </c>
      <c r="K347" s="18" t="s">
        <v>11</v>
      </c>
      <c r="L347" s="18">
        <v>1</v>
      </c>
      <c r="M347" s="22" t="s">
        <v>34</v>
      </c>
    </row>
    <row r="348" spans="1:13" x14ac:dyDescent="0.35">
      <c r="A348" s="18">
        <v>23</v>
      </c>
      <c r="B348" s="22" t="s">
        <v>38</v>
      </c>
      <c r="C348" s="18" t="s">
        <v>19</v>
      </c>
      <c r="D348" s="18">
        <v>2</v>
      </c>
      <c r="E348" s="18" t="s">
        <v>21</v>
      </c>
      <c r="F348" s="18" t="s">
        <v>24</v>
      </c>
      <c r="G348" s="18" t="s">
        <v>27</v>
      </c>
      <c r="H348" s="18">
        <v>882</v>
      </c>
      <c r="I348" s="22" t="s">
        <v>46</v>
      </c>
      <c r="J348" s="18">
        <v>13</v>
      </c>
      <c r="K348" s="18" t="s">
        <v>11</v>
      </c>
      <c r="L348" s="18">
        <v>1</v>
      </c>
      <c r="M348" s="22" t="s">
        <v>34</v>
      </c>
    </row>
    <row r="349" spans="1:13" x14ac:dyDescent="0.35">
      <c r="A349" s="18">
        <v>23</v>
      </c>
      <c r="B349" s="22" t="s">
        <v>38</v>
      </c>
      <c r="C349" s="18" t="s">
        <v>20</v>
      </c>
      <c r="D349" s="18">
        <v>0</v>
      </c>
      <c r="E349" s="18" t="s">
        <v>23</v>
      </c>
      <c r="F349" s="18" t="s">
        <v>25</v>
      </c>
      <c r="G349" s="18" t="s">
        <v>27</v>
      </c>
      <c r="H349" s="18">
        <v>3758</v>
      </c>
      <c r="I349" s="22" t="s">
        <v>43</v>
      </c>
      <c r="J349" s="18">
        <v>24</v>
      </c>
      <c r="K349" s="18" t="s">
        <v>11</v>
      </c>
      <c r="L349" s="18">
        <v>1</v>
      </c>
      <c r="M349" s="22" t="s">
        <v>34</v>
      </c>
    </row>
    <row r="350" spans="1:13" x14ac:dyDescent="0.35">
      <c r="A350" s="18">
        <v>34</v>
      </c>
      <c r="B350" s="22" t="s">
        <v>39</v>
      </c>
      <c r="C350" s="18" t="s">
        <v>19</v>
      </c>
      <c r="D350" s="18">
        <v>1</v>
      </c>
      <c r="E350" s="18" t="s">
        <v>21</v>
      </c>
      <c r="F350" s="18" t="s">
        <v>27</v>
      </c>
      <c r="G350" s="18" t="s">
        <v>10</v>
      </c>
      <c r="H350" s="18">
        <v>1743</v>
      </c>
      <c r="I350" s="22" t="s">
        <v>46</v>
      </c>
      <c r="J350" s="18">
        <v>6</v>
      </c>
      <c r="K350" s="18" t="s">
        <v>15</v>
      </c>
      <c r="L350" s="18">
        <v>1</v>
      </c>
      <c r="M350" s="22" t="s">
        <v>34</v>
      </c>
    </row>
    <row r="351" spans="1:13" x14ac:dyDescent="0.35">
      <c r="A351" s="18">
        <v>32</v>
      </c>
      <c r="B351" s="22" t="s">
        <v>39</v>
      </c>
      <c r="C351" s="18" t="s">
        <v>19</v>
      </c>
      <c r="D351" s="18">
        <v>2</v>
      </c>
      <c r="E351" s="18" t="s">
        <v>22</v>
      </c>
      <c r="F351" s="18" t="s">
        <v>26</v>
      </c>
      <c r="G351" s="18" t="s">
        <v>27</v>
      </c>
      <c r="H351" s="18">
        <v>1136</v>
      </c>
      <c r="I351" s="22" t="s">
        <v>46</v>
      </c>
      <c r="J351" s="18">
        <v>9</v>
      </c>
      <c r="K351" s="18" t="s">
        <v>12</v>
      </c>
      <c r="L351" s="18">
        <v>2</v>
      </c>
      <c r="M351" s="22" t="s">
        <v>45</v>
      </c>
    </row>
    <row r="352" spans="1:13" x14ac:dyDescent="0.35">
      <c r="A352" s="18">
        <v>23</v>
      </c>
      <c r="B352" s="22" t="s">
        <v>38</v>
      </c>
      <c r="C352" s="18" t="s">
        <v>20</v>
      </c>
      <c r="D352" s="18">
        <v>2</v>
      </c>
      <c r="E352" s="18" t="s">
        <v>23</v>
      </c>
      <c r="F352" s="18" t="s">
        <v>24</v>
      </c>
      <c r="G352" s="18" t="s">
        <v>10</v>
      </c>
      <c r="H352" s="18">
        <v>1236</v>
      </c>
      <c r="I352" s="22" t="s">
        <v>46</v>
      </c>
      <c r="J352" s="18">
        <v>9</v>
      </c>
      <c r="K352" s="18" t="s">
        <v>16</v>
      </c>
      <c r="L352" s="18">
        <v>1</v>
      </c>
      <c r="M352" s="22" t="s">
        <v>34</v>
      </c>
    </row>
    <row r="353" spans="1:13" x14ac:dyDescent="0.35">
      <c r="A353" s="18">
        <v>29</v>
      </c>
      <c r="B353" s="22" t="s">
        <v>38</v>
      </c>
      <c r="C353" s="18" t="s">
        <v>20</v>
      </c>
      <c r="D353" s="18">
        <v>2</v>
      </c>
      <c r="E353" s="18" t="s">
        <v>21</v>
      </c>
      <c r="F353" s="18" t="s">
        <v>24</v>
      </c>
      <c r="G353" s="18" t="s">
        <v>27</v>
      </c>
      <c r="H353" s="18">
        <v>959</v>
      </c>
      <c r="I353" s="22" t="s">
        <v>46</v>
      </c>
      <c r="J353" s="18">
        <v>9</v>
      </c>
      <c r="K353" s="18" t="s">
        <v>13</v>
      </c>
      <c r="L353" s="18">
        <v>2</v>
      </c>
      <c r="M353" s="22" t="s">
        <v>45</v>
      </c>
    </row>
    <row r="354" spans="1:13" x14ac:dyDescent="0.35">
      <c r="A354" s="18">
        <v>38</v>
      </c>
      <c r="B354" s="22" t="s">
        <v>39</v>
      </c>
      <c r="C354" s="18" t="s">
        <v>19</v>
      </c>
      <c r="D354" s="18">
        <v>3</v>
      </c>
      <c r="E354" s="18" t="s">
        <v>21</v>
      </c>
      <c r="F354" s="18" t="s">
        <v>10</v>
      </c>
      <c r="G354" s="18" t="s">
        <v>10</v>
      </c>
      <c r="H354" s="18">
        <v>3229</v>
      </c>
      <c r="I354" s="22" t="s">
        <v>43</v>
      </c>
      <c r="J354" s="18">
        <v>18</v>
      </c>
      <c r="K354" s="18" t="s">
        <v>14</v>
      </c>
      <c r="L354" s="18">
        <v>1</v>
      </c>
      <c r="M354" s="22" t="s">
        <v>34</v>
      </c>
    </row>
    <row r="355" spans="1:13" x14ac:dyDescent="0.35">
      <c r="A355" s="18">
        <v>28</v>
      </c>
      <c r="B355" s="22" t="s">
        <v>38</v>
      </c>
      <c r="C355" s="18" t="s">
        <v>19</v>
      </c>
      <c r="D355" s="18">
        <v>2</v>
      </c>
      <c r="E355" s="18" t="s">
        <v>23</v>
      </c>
      <c r="F355" s="18" t="s">
        <v>24</v>
      </c>
      <c r="G355" s="18" t="s">
        <v>24</v>
      </c>
      <c r="H355" s="18">
        <v>6199</v>
      </c>
      <c r="I355" s="22" t="s">
        <v>42</v>
      </c>
      <c r="J355" s="18">
        <v>12</v>
      </c>
      <c r="K355" s="18" t="s">
        <v>11</v>
      </c>
      <c r="L355" s="18">
        <v>2</v>
      </c>
      <c r="M355" s="22" t="s">
        <v>45</v>
      </c>
    </row>
    <row r="356" spans="1:13" x14ac:dyDescent="0.35">
      <c r="A356" s="18">
        <v>46</v>
      </c>
      <c r="B356" s="22" t="s">
        <v>39</v>
      </c>
      <c r="C356" s="18" t="s">
        <v>19</v>
      </c>
      <c r="D356" s="18">
        <v>2</v>
      </c>
      <c r="E356" s="18" t="s">
        <v>22</v>
      </c>
      <c r="F356" s="18" t="s">
        <v>25</v>
      </c>
      <c r="G356" s="18" t="s">
        <v>10</v>
      </c>
      <c r="H356" s="18">
        <v>727</v>
      </c>
      <c r="I356" s="22" t="s">
        <v>46</v>
      </c>
      <c r="J356" s="18">
        <v>10</v>
      </c>
      <c r="K356" s="18" t="s">
        <v>12</v>
      </c>
      <c r="L356" s="18">
        <v>1</v>
      </c>
      <c r="M356" s="22" t="s">
        <v>34</v>
      </c>
    </row>
    <row r="357" spans="1:13" x14ac:dyDescent="0.35">
      <c r="A357" s="18">
        <v>23</v>
      </c>
      <c r="B357" s="22" t="s">
        <v>38</v>
      </c>
      <c r="C357" s="18" t="s">
        <v>19</v>
      </c>
      <c r="D357" s="18">
        <v>1</v>
      </c>
      <c r="E357" s="18" t="s">
        <v>21</v>
      </c>
      <c r="F357" s="18" t="s">
        <v>24</v>
      </c>
      <c r="G357" s="18" t="s">
        <v>27</v>
      </c>
      <c r="H357" s="18">
        <v>1246</v>
      </c>
      <c r="I357" s="22" t="s">
        <v>46</v>
      </c>
      <c r="J357" s="18">
        <v>24</v>
      </c>
      <c r="K357" s="18" t="s">
        <v>14</v>
      </c>
      <c r="L357" s="18">
        <v>2</v>
      </c>
      <c r="M357" s="22" t="s">
        <v>45</v>
      </c>
    </row>
    <row r="358" spans="1:13" x14ac:dyDescent="0.35">
      <c r="A358" s="18">
        <v>49</v>
      </c>
      <c r="B358" s="22" t="s">
        <v>39</v>
      </c>
      <c r="C358" s="18" t="s">
        <v>19</v>
      </c>
      <c r="D358" s="18">
        <v>2</v>
      </c>
      <c r="E358" s="18" t="s">
        <v>21</v>
      </c>
      <c r="F358" s="18" t="s">
        <v>10</v>
      </c>
      <c r="G358" s="18" t="s">
        <v>10</v>
      </c>
      <c r="H358" s="18">
        <v>2331</v>
      </c>
      <c r="I358" s="22" t="s">
        <v>43</v>
      </c>
      <c r="J358" s="18">
        <v>12</v>
      </c>
      <c r="K358" s="18" t="s">
        <v>11</v>
      </c>
      <c r="L358" s="18">
        <v>1</v>
      </c>
      <c r="M358" s="22" t="s">
        <v>34</v>
      </c>
    </row>
    <row r="359" spans="1:13" x14ac:dyDescent="0.35">
      <c r="A359" s="18">
        <v>26</v>
      </c>
      <c r="B359" s="22" t="s">
        <v>38</v>
      </c>
      <c r="C359" s="18" t="s">
        <v>19</v>
      </c>
      <c r="D359" s="18">
        <v>3</v>
      </c>
      <c r="E359" s="18" t="s">
        <v>21</v>
      </c>
      <c r="F359" s="18" t="s">
        <v>24</v>
      </c>
      <c r="G359" s="18" t="s">
        <v>10</v>
      </c>
      <c r="H359" s="18">
        <v>4463</v>
      </c>
      <c r="I359" s="22" t="s">
        <v>43</v>
      </c>
      <c r="J359" s="18">
        <v>36</v>
      </c>
      <c r="K359" s="18" t="s">
        <v>11</v>
      </c>
      <c r="L359" s="18">
        <v>2</v>
      </c>
      <c r="M359" s="22" t="s">
        <v>45</v>
      </c>
    </row>
    <row r="360" spans="1:13" x14ac:dyDescent="0.35">
      <c r="A360" s="18">
        <v>28</v>
      </c>
      <c r="B360" s="22" t="s">
        <v>38</v>
      </c>
      <c r="C360" s="18" t="s">
        <v>19</v>
      </c>
      <c r="D360" s="18">
        <v>2</v>
      </c>
      <c r="E360" s="18" t="s">
        <v>21</v>
      </c>
      <c r="F360" s="18" t="s">
        <v>24</v>
      </c>
      <c r="G360" s="18" t="s">
        <v>10</v>
      </c>
      <c r="H360" s="18">
        <v>776</v>
      </c>
      <c r="I360" s="22" t="s">
        <v>46</v>
      </c>
      <c r="J360" s="18">
        <v>12</v>
      </c>
      <c r="K360" s="18" t="s">
        <v>11</v>
      </c>
      <c r="L360" s="18">
        <v>1</v>
      </c>
      <c r="M360" s="22" t="s">
        <v>34</v>
      </c>
    </row>
    <row r="361" spans="1:13" x14ac:dyDescent="0.35">
      <c r="A361" s="18">
        <v>23</v>
      </c>
      <c r="B361" s="22" t="s">
        <v>38</v>
      </c>
      <c r="C361" s="18" t="s">
        <v>20</v>
      </c>
      <c r="D361" s="18">
        <v>2</v>
      </c>
      <c r="E361" s="18" t="s">
        <v>23</v>
      </c>
      <c r="F361" s="18" t="s">
        <v>24</v>
      </c>
      <c r="G361" s="18" t="s">
        <v>24</v>
      </c>
      <c r="H361" s="18">
        <v>2406</v>
      </c>
      <c r="I361" s="22" t="s">
        <v>43</v>
      </c>
      <c r="J361" s="18">
        <v>30</v>
      </c>
      <c r="K361" s="18" t="s">
        <v>13</v>
      </c>
      <c r="L361" s="18">
        <v>2</v>
      </c>
      <c r="M361" s="22" t="s">
        <v>45</v>
      </c>
    </row>
    <row r="362" spans="1:13" x14ac:dyDescent="0.35">
      <c r="A362" s="18">
        <v>61</v>
      </c>
      <c r="B362" s="22" t="s">
        <v>37</v>
      </c>
      <c r="C362" s="18" t="s">
        <v>19</v>
      </c>
      <c r="D362" s="18">
        <v>2</v>
      </c>
      <c r="E362" s="18" t="s">
        <v>22</v>
      </c>
      <c r="F362" s="18" t="s">
        <v>10</v>
      </c>
      <c r="G362" s="18" t="s">
        <v>27</v>
      </c>
      <c r="H362" s="18">
        <v>1239</v>
      </c>
      <c r="I362" s="22" t="s">
        <v>46</v>
      </c>
      <c r="J362" s="18">
        <v>18</v>
      </c>
      <c r="K362" s="18" t="s">
        <v>12</v>
      </c>
      <c r="L362" s="18">
        <v>1</v>
      </c>
      <c r="M362" s="22" t="s">
        <v>34</v>
      </c>
    </row>
    <row r="363" spans="1:13" x14ac:dyDescent="0.35">
      <c r="A363" s="18">
        <v>37</v>
      </c>
      <c r="B363" s="22" t="s">
        <v>39</v>
      </c>
      <c r="C363" s="18" t="s">
        <v>19</v>
      </c>
      <c r="D363" s="18">
        <v>3</v>
      </c>
      <c r="E363" s="18" t="s">
        <v>21</v>
      </c>
      <c r="F363" s="18" t="s">
        <v>10</v>
      </c>
      <c r="G363" s="18" t="s">
        <v>26</v>
      </c>
      <c r="H363" s="18">
        <v>3399</v>
      </c>
      <c r="I363" s="22" t="s">
        <v>43</v>
      </c>
      <c r="J363" s="18">
        <v>12</v>
      </c>
      <c r="K363" s="18" t="s">
        <v>11</v>
      </c>
      <c r="L363" s="18">
        <v>1</v>
      </c>
      <c r="M363" s="22" t="s">
        <v>34</v>
      </c>
    </row>
    <row r="364" spans="1:13" x14ac:dyDescent="0.35">
      <c r="A364" s="18">
        <v>36</v>
      </c>
      <c r="B364" s="22" t="s">
        <v>39</v>
      </c>
      <c r="C364" s="18" t="s">
        <v>20</v>
      </c>
      <c r="D364" s="18">
        <v>2</v>
      </c>
      <c r="E364" s="18" t="s">
        <v>21</v>
      </c>
      <c r="F364" s="18" t="s">
        <v>24</v>
      </c>
      <c r="G364" s="18" t="s">
        <v>26</v>
      </c>
      <c r="H364" s="18">
        <v>2247</v>
      </c>
      <c r="I364" s="22" t="s">
        <v>43</v>
      </c>
      <c r="J364" s="18">
        <v>12</v>
      </c>
      <c r="K364" s="18" t="s">
        <v>14</v>
      </c>
      <c r="L364" s="18">
        <v>1</v>
      </c>
      <c r="M364" s="22" t="s">
        <v>34</v>
      </c>
    </row>
    <row r="365" spans="1:13" x14ac:dyDescent="0.35">
      <c r="A365" s="18">
        <v>21</v>
      </c>
      <c r="B365" s="22" t="s">
        <v>38</v>
      </c>
      <c r="C365" s="18" t="s">
        <v>19</v>
      </c>
      <c r="D365" s="18">
        <v>2</v>
      </c>
      <c r="E365" s="18" t="s">
        <v>23</v>
      </c>
      <c r="F365" s="18" t="s">
        <v>24</v>
      </c>
      <c r="G365" s="18" t="s">
        <v>10</v>
      </c>
      <c r="H365" s="18">
        <v>1766</v>
      </c>
      <c r="I365" s="22" t="s">
        <v>46</v>
      </c>
      <c r="J365" s="18">
        <v>6</v>
      </c>
      <c r="K365" s="18" t="s">
        <v>13</v>
      </c>
      <c r="L365" s="18">
        <v>1</v>
      </c>
      <c r="M365" s="22" t="s">
        <v>34</v>
      </c>
    </row>
    <row r="366" spans="1:13" x14ac:dyDescent="0.35">
      <c r="A366" s="18">
        <v>25</v>
      </c>
      <c r="B366" s="22" t="s">
        <v>38</v>
      </c>
      <c r="C366" s="18" t="s">
        <v>19</v>
      </c>
      <c r="D366" s="18">
        <v>0</v>
      </c>
      <c r="E366" s="18" t="s">
        <v>21</v>
      </c>
      <c r="F366" s="18" t="s">
        <v>24</v>
      </c>
      <c r="G366" s="18" t="s">
        <v>24</v>
      </c>
      <c r="H366" s="18">
        <v>2473</v>
      </c>
      <c r="I366" s="22" t="s">
        <v>43</v>
      </c>
      <c r="J366" s="18">
        <v>18</v>
      </c>
      <c r="K366" s="18" t="s">
        <v>13</v>
      </c>
      <c r="L366" s="18">
        <v>2</v>
      </c>
      <c r="M366" s="22" t="s">
        <v>45</v>
      </c>
    </row>
    <row r="367" spans="1:13" x14ac:dyDescent="0.35">
      <c r="A367" s="18">
        <v>36</v>
      </c>
      <c r="B367" s="22" t="s">
        <v>39</v>
      </c>
      <c r="C367" s="18" t="s">
        <v>19</v>
      </c>
      <c r="D367" s="18">
        <v>2</v>
      </c>
      <c r="E367" s="18" t="s">
        <v>21</v>
      </c>
      <c r="F367" s="18" t="s">
        <v>24</v>
      </c>
      <c r="G367" s="18" t="s">
        <v>10</v>
      </c>
      <c r="H367" s="18">
        <v>1542</v>
      </c>
      <c r="I367" s="22" t="s">
        <v>46</v>
      </c>
      <c r="J367" s="18">
        <v>12</v>
      </c>
      <c r="K367" s="18" t="s">
        <v>15</v>
      </c>
      <c r="L367" s="18">
        <v>1</v>
      </c>
      <c r="M367" s="22" t="s">
        <v>34</v>
      </c>
    </row>
    <row r="368" spans="1:13" x14ac:dyDescent="0.35">
      <c r="A368" s="18">
        <v>27</v>
      </c>
      <c r="B368" s="22" t="s">
        <v>38</v>
      </c>
      <c r="C368" s="18" t="s">
        <v>19</v>
      </c>
      <c r="D368" s="18">
        <v>2</v>
      </c>
      <c r="E368" s="18" t="s">
        <v>21</v>
      </c>
      <c r="F368" s="18" t="s">
        <v>24</v>
      </c>
      <c r="G368" s="18" t="s">
        <v>10</v>
      </c>
      <c r="H368" s="18">
        <v>3850</v>
      </c>
      <c r="I368" s="22" t="s">
        <v>43</v>
      </c>
      <c r="J368" s="18">
        <v>18</v>
      </c>
      <c r="K368" s="18" t="s">
        <v>14</v>
      </c>
      <c r="L368" s="18">
        <v>1</v>
      </c>
      <c r="M368" s="22" t="s">
        <v>34</v>
      </c>
    </row>
    <row r="369" spans="1:13" x14ac:dyDescent="0.35">
      <c r="A369" s="18">
        <v>22</v>
      </c>
      <c r="B369" s="22" t="s">
        <v>38</v>
      </c>
      <c r="C369" s="18" t="s">
        <v>20</v>
      </c>
      <c r="D369" s="18">
        <v>2</v>
      </c>
      <c r="E369" s="18" t="s">
        <v>23</v>
      </c>
      <c r="F369" s="18" t="s">
        <v>24</v>
      </c>
      <c r="G369" s="18" t="s">
        <v>24</v>
      </c>
      <c r="H369" s="18">
        <v>3650</v>
      </c>
      <c r="I369" s="22" t="s">
        <v>43</v>
      </c>
      <c r="J369" s="18">
        <v>18</v>
      </c>
      <c r="K369" s="18" t="s">
        <v>13</v>
      </c>
      <c r="L369" s="18">
        <v>1</v>
      </c>
      <c r="M369" s="22" t="s">
        <v>34</v>
      </c>
    </row>
    <row r="370" spans="1:13" x14ac:dyDescent="0.35">
      <c r="A370" s="18">
        <v>42</v>
      </c>
      <c r="B370" s="22" t="s">
        <v>39</v>
      </c>
      <c r="C370" s="18" t="s">
        <v>19</v>
      </c>
      <c r="D370" s="18">
        <v>2</v>
      </c>
      <c r="E370" s="18" t="s">
        <v>21</v>
      </c>
      <c r="F370" s="18" t="s">
        <v>24</v>
      </c>
      <c r="G370" s="18" t="s">
        <v>24</v>
      </c>
      <c r="H370" s="18">
        <v>3446</v>
      </c>
      <c r="I370" s="22" t="s">
        <v>43</v>
      </c>
      <c r="J370" s="18">
        <v>36</v>
      </c>
      <c r="K370" s="18" t="s">
        <v>13</v>
      </c>
      <c r="L370" s="18">
        <v>2</v>
      </c>
      <c r="M370" s="22" t="s">
        <v>45</v>
      </c>
    </row>
    <row r="371" spans="1:13" x14ac:dyDescent="0.35">
      <c r="A371" s="18">
        <v>40</v>
      </c>
      <c r="B371" s="22" t="s">
        <v>39</v>
      </c>
      <c r="C371" s="18" t="s">
        <v>20</v>
      </c>
      <c r="D371" s="18">
        <v>2</v>
      </c>
      <c r="E371" s="18" t="s">
        <v>23</v>
      </c>
      <c r="F371" s="18" t="s">
        <v>24</v>
      </c>
      <c r="G371" s="18" t="s">
        <v>27</v>
      </c>
      <c r="H371" s="18">
        <v>3001</v>
      </c>
      <c r="I371" s="22" t="s">
        <v>43</v>
      </c>
      <c r="J371" s="18">
        <v>18</v>
      </c>
      <c r="K371" s="18" t="s">
        <v>13</v>
      </c>
      <c r="L371" s="18">
        <v>1</v>
      </c>
      <c r="M371" s="22" t="s">
        <v>34</v>
      </c>
    </row>
    <row r="372" spans="1:13" x14ac:dyDescent="0.35">
      <c r="A372" s="18">
        <v>36</v>
      </c>
      <c r="B372" s="22" t="s">
        <v>39</v>
      </c>
      <c r="C372" s="18" t="s">
        <v>19</v>
      </c>
      <c r="D372" s="18">
        <v>2</v>
      </c>
      <c r="E372" s="18" t="s">
        <v>21</v>
      </c>
      <c r="F372" s="18" t="s">
        <v>10</v>
      </c>
      <c r="G372" s="18" t="s">
        <v>10</v>
      </c>
      <c r="H372" s="18">
        <v>3079</v>
      </c>
      <c r="I372" s="22" t="s">
        <v>43</v>
      </c>
      <c r="J372" s="18">
        <v>36</v>
      </c>
      <c r="K372" s="18" t="s">
        <v>14</v>
      </c>
      <c r="L372" s="18">
        <v>1</v>
      </c>
      <c r="M372" s="22" t="s">
        <v>34</v>
      </c>
    </row>
    <row r="373" spans="1:13" x14ac:dyDescent="0.35">
      <c r="A373" s="18">
        <v>33</v>
      </c>
      <c r="B373" s="22" t="s">
        <v>39</v>
      </c>
      <c r="C373" s="18" t="s">
        <v>19</v>
      </c>
      <c r="D373" s="18">
        <v>2</v>
      </c>
      <c r="E373" s="18" t="s">
        <v>21</v>
      </c>
      <c r="F373" s="18" t="s">
        <v>24</v>
      </c>
      <c r="G373" s="18" t="s">
        <v>10</v>
      </c>
      <c r="H373" s="18">
        <v>6070</v>
      </c>
      <c r="I373" s="22" t="s">
        <v>42</v>
      </c>
      <c r="J373" s="18">
        <v>18</v>
      </c>
      <c r="K373" s="18" t="s">
        <v>11</v>
      </c>
      <c r="L373" s="18">
        <v>1</v>
      </c>
      <c r="M373" s="22" t="s">
        <v>34</v>
      </c>
    </row>
    <row r="374" spans="1:13" x14ac:dyDescent="0.35">
      <c r="A374" s="18">
        <v>23</v>
      </c>
      <c r="B374" s="22" t="s">
        <v>38</v>
      </c>
      <c r="C374" s="18" t="s">
        <v>20</v>
      </c>
      <c r="D374" s="18">
        <v>2</v>
      </c>
      <c r="E374" s="18" t="s">
        <v>23</v>
      </c>
      <c r="F374" s="18" t="s">
        <v>24</v>
      </c>
      <c r="G374" s="18" t="s">
        <v>10</v>
      </c>
      <c r="H374" s="18">
        <v>2146</v>
      </c>
      <c r="I374" s="22" t="s">
        <v>43</v>
      </c>
      <c r="J374" s="18">
        <v>10</v>
      </c>
      <c r="K374" s="18" t="s">
        <v>13</v>
      </c>
      <c r="L374" s="18">
        <v>1</v>
      </c>
      <c r="M374" s="22" t="s">
        <v>34</v>
      </c>
    </row>
    <row r="375" spans="1:13" x14ac:dyDescent="0.35">
      <c r="A375" s="18">
        <v>63</v>
      </c>
      <c r="B375" s="22" t="s">
        <v>37</v>
      </c>
      <c r="C375" s="18" t="s">
        <v>19</v>
      </c>
      <c r="D375" s="18">
        <v>3</v>
      </c>
      <c r="E375" s="18" t="s">
        <v>22</v>
      </c>
      <c r="F375" s="18" t="s">
        <v>10</v>
      </c>
      <c r="G375" s="18" t="s">
        <v>10</v>
      </c>
      <c r="H375" s="18">
        <v>13756</v>
      </c>
      <c r="I375" s="22" t="s">
        <v>42</v>
      </c>
      <c r="J375" s="18">
        <v>60</v>
      </c>
      <c r="K375" s="18" t="s">
        <v>14</v>
      </c>
      <c r="L375" s="18">
        <v>1</v>
      </c>
      <c r="M375" s="22" t="s">
        <v>34</v>
      </c>
    </row>
    <row r="376" spans="1:13" x14ac:dyDescent="0.35">
      <c r="A376" s="18">
        <v>60</v>
      </c>
      <c r="B376" s="22" t="s">
        <v>37</v>
      </c>
      <c r="C376" s="18" t="s">
        <v>20</v>
      </c>
      <c r="D376" s="18">
        <v>3</v>
      </c>
      <c r="E376" s="18" t="s">
        <v>22</v>
      </c>
      <c r="F376" s="18" t="s">
        <v>27</v>
      </c>
      <c r="G376" s="18" t="s">
        <v>27</v>
      </c>
      <c r="H376" s="18">
        <v>14782</v>
      </c>
      <c r="I376" s="22" t="s">
        <v>42</v>
      </c>
      <c r="J376" s="18">
        <v>60</v>
      </c>
      <c r="K376" s="18" t="s">
        <v>18</v>
      </c>
      <c r="L376" s="18">
        <v>2</v>
      </c>
      <c r="M376" s="22" t="s">
        <v>45</v>
      </c>
    </row>
    <row r="377" spans="1:13" x14ac:dyDescent="0.35">
      <c r="A377" s="18">
        <v>37</v>
      </c>
      <c r="B377" s="22" t="s">
        <v>39</v>
      </c>
      <c r="C377" s="18" t="s">
        <v>20</v>
      </c>
      <c r="D377" s="18">
        <v>2</v>
      </c>
      <c r="E377" s="18" t="s">
        <v>23</v>
      </c>
      <c r="F377" s="18" t="s">
        <v>24</v>
      </c>
      <c r="G377" s="18" t="s">
        <v>24</v>
      </c>
      <c r="H377" s="18">
        <v>7685</v>
      </c>
      <c r="I377" s="22" t="s">
        <v>42</v>
      </c>
      <c r="J377" s="18">
        <v>48</v>
      </c>
      <c r="K377" s="18" t="s">
        <v>15</v>
      </c>
      <c r="L377" s="18">
        <v>2</v>
      </c>
      <c r="M377" s="22" t="s">
        <v>45</v>
      </c>
    </row>
    <row r="378" spans="1:13" x14ac:dyDescent="0.35">
      <c r="A378" s="18">
        <v>34</v>
      </c>
      <c r="B378" s="22" t="s">
        <v>39</v>
      </c>
      <c r="C378" s="18" t="s">
        <v>19</v>
      </c>
      <c r="D378" s="18">
        <v>2</v>
      </c>
      <c r="E378" s="18" t="s">
        <v>21</v>
      </c>
      <c r="F378" s="18" t="s">
        <v>24</v>
      </c>
      <c r="G378" s="18" t="s">
        <v>10</v>
      </c>
      <c r="H378" s="18">
        <v>2320</v>
      </c>
      <c r="I378" s="22" t="s">
        <v>43</v>
      </c>
      <c r="J378" s="18">
        <v>18</v>
      </c>
      <c r="K378" s="18" t="s">
        <v>11</v>
      </c>
      <c r="L378" s="18">
        <v>1</v>
      </c>
      <c r="M378" s="22" t="s">
        <v>34</v>
      </c>
    </row>
    <row r="379" spans="1:13" x14ac:dyDescent="0.35">
      <c r="A379" s="18">
        <v>36</v>
      </c>
      <c r="B379" s="22" t="s">
        <v>39</v>
      </c>
      <c r="C379" s="18" t="s">
        <v>19</v>
      </c>
      <c r="D379" s="18">
        <v>2</v>
      </c>
      <c r="E379" s="18" t="s">
        <v>22</v>
      </c>
      <c r="F379" s="18" t="s">
        <v>10</v>
      </c>
      <c r="G379" s="18" t="s">
        <v>10</v>
      </c>
      <c r="H379" s="18">
        <v>846</v>
      </c>
      <c r="I379" s="22" t="s">
        <v>46</v>
      </c>
      <c r="J379" s="18">
        <v>7</v>
      </c>
      <c r="K379" s="18" t="s">
        <v>11</v>
      </c>
      <c r="L379" s="18">
        <v>1</v>
      </c>
      <c r="M379" s="22" t="s">
        <v>34</v>
      </c>
    </row>
    <row r="380" spans="1:13" x14ac:dyDescent="0.35">
      <c r="A380" s="18">
        <v>57</v>
      </c>
      <c r="B380" s="22" t="s">
        <v>37</v>
      </c>
      <c r="C380" s="18" t="s">
        <v>19</v>
      </c>
      <c r="D380" s="18">
        <v>3</v>
      </c>
      <c r="E380" s="18" t="s">
        <v>22</v>
      </c>
      <c r="F380" s="18" t="s">
        <v>24</v>
      </c>
      <c r="G380" s="18" t="s">
        <v>27</v>
      </c>
      <c r="H380" s="18">
        <v>14318</v>
      </c>
      <c r="I380" s="22" t="s">
        <v>42</v>
      </c>
      <c r="J380" s="18">
        <v>36</v>
      </c>
      <c r="K380" s="18" t="s">
        <v>14</v>
      </c>
      <c r="L380" s="18">
        <v>2</v>
      </c>
      <c r="M380" s="22" t="s">
        <v>45</v>
      </c>
    </row>
    <row r="381" spans="1:13" x14ac:dyDescent="0.35">
      <c r="A381" s="18">
        <v>52</v>
      </c>
      <c r="B381" s="22" t="s">
        <v>37</v>
      </c>
      <c r="C381" s="18" t="s">
        <v>20</v>
      </c>
      <c r="D381" s="18">
        <v>1</v>
      </c>
      <c r="E381" s="18" t="s">
        <v>21</v>
      </c>
      <c r="F381" s="18" t="s">
        <v>27</v>
      </c>
      <c r="G381" s="18" t="s">
        <v>10</v>
      </c>
      <c r="H381" s="18">
        <v>362</v>
      </c>
      <c r="I381" s="22" t="s">
        <v>46</v>
      </c>
      <c r="J381" s="18">
        <v>6</v>
      </c>
      <c r="K381" s="18" t="s">
        <v>14</v>
      </c>
      <c r="L381" s="18">
        <v>1</v>
      </c>
      <c r="M381" s="22" t="s">
        <v>34</v>
      </c>
    </row>
    <row r="382" spans="1:13" x14ac:dyDescent="0.35">
      <c r="A382" s="18">
        <v>39</v>
      </c>
      <c r="B382" s="22" t="s">
        <v>39</v>
      </c>
      <c r="C382" s="18" t="s">
        <v>19</v>
      </c>
      <c r="D382" s="18">
        <v>2</v>
      </c>
      <c r="E382" s="18" t="s">
        <v>21</v>
      </c>
      <c r="F382" s="18" t="s">
        <v>10</v>
      </c>
      <c r="G382" s="18" t="s">
        <v>24</v>
      </c>
      <c r="H382" s="18">
        <v>2212</v>
      </c>
      <c r="I382" s="22" t="s">
        <v>43</v>
      </c>
      <c r="J382" s="18">
        <v>20</v>
      </c>
      <c r="K382" s="18" t="s">
        <v>13</v>
      </c>
      <c r="L382" s="18">
        <v>1</v>
      </c>
      <c r="M382" s="22" t="s">
        <v>34</v>
      </c>
    </row>
    <row r="383" spans="1:13" x14ac:dyDescent="0.35">
      <c r="A383" s="18">
        <v>38</v>
      </c>
      <c r="B383" s="22" t="s">
        <v>39</v>
      </c>
      <c r="C383" s="18" t="s">
        <v>20</v>
      </c>
      <c r="D383" s="18">
        <v>3</v>
      </c>
      <c r="E383" s="18" t="s">
        <v>22</v>
      </c>
      <c r="F383" s="18" t="s">
        <v>24</v>
      </c>
      <c r="G383" s="18" t="s">
        <v>27</v>
      </c>
      <c r="H383" s="18">
        <v>12976</v>
      </c>
      <c r="I383" s="22" t="s">
        <v>42</v>
      </c>
      <c r="J383" s="18">
        <v>18</v>
      </c>
      <c r="K383" s="18" t="s">
        <v>14</v>
      </c>
      <c r="L383" s="18">
        <v>2</v>
      </c>
      <c r="M383" s="22" t="s">
        <v>45</v>
      </c>
    </row>
    <row r="384" spans="1:13" x14ac:dyDescent="0.35">
      <c r="A384" s="18">
        <v>25</v>
      </c>
      <c r="B384" s="22" t="s">
        <v>38</v>
      </c>
      <c r="C384" s="18" t="s">
        <v>20</v>
      </c>
      <c r="D384" s="18">
        <v>2</v>
      </c>
      <c r="E384" s="18" t="s">
        <v>23</v>
      </c>
      <c r="F384" s="18" t="s">
        <v>10</v>
      </c>
      <c r="G384" s="18" t="s">
        <v>10</v>
      </c>
      <c r="H384" s="18">
        <v>1283</v>
      </c>
      <c r="I384" s="22" t="s">
        <v>46</v>
      </c>
      <c r="J384" s="18">
        <v>22</v>
      </c>
      <c r="K384" s="18" t="s">
        <v>14</v>
      </c>
      <c r="L384" s="18">
        <v>1</v>
      </c>
      <c r="M384" s="22" t="s">
        <v>34</v>
      </c>
    </row>
    <row r="385" spans="1:13" x14ac:dyDescent="0.35">
      <c r="A385" s="18">
        <v>26</v>
      </c>
      <c r="B385" s="22" t="s">
        <v>38</v>
      </c>
      <c r="C385" s="18" t="s">
        <v>19</v>
      </c>
      <c r="D385" s="18">
        <v>2</v>
      </c>
      <c r="E385" s="18" t="s">
        <v>21</v>
      </c>
      <c r="F385" s="18" t="s">
        <v>24</v>
      </c>
      <c r="G385" s="18" t="s">
        <v>26</v>
      </c>
      <c r="H385" s="18">
        <v>1330</v>
      </c>
      <c r="I385" s="22" t="s">
        <v>46</v>
      </c>
      <c r="J385" s="18">
        <v>12</v>
      </c>
      <c r="K385" s="18" t="s">
        <v>14</v>
      </c>
      <c r="L385" s="18">
        <v>1</v>
      </c>
      <c r="M385" s="22" t="s">
        <v>34</v>
      </c>
    </row>
    <row r="386" spans="1:13" x14ac:dyDescent="0.35">
      <c r="A386" s="18">
        <v>26</v>
      </c>
      <c r="B386" s="22" t="s">
        <v>38</v>
      </c>
      <c r="C386" s="18" t="s">
        <v>19</v>
      </c>
      <c r="D386" s="18">
        <v>1</v>
      </c>
      <c r="E386" s="18" t="s">
        <v>21</v>
      </c>
      <c r="F386" s="18" t="s">
        <v>27</v>
      </c>
      <c r="G386" s="18" t="s">
        <v>10</v>
      </c>
      <c r="H386" s="18">
        <v>4272</v>
      </c>
      <c r="I386" s="22" t="s">
        <v>43</v>
      </c>
      <c r="J386" s="18">
        <v>30</v>
      </c>
      <c r="K386" s="18" t="s">
        <v>15</v>
      </c>
      <c r="L386" s="18">
        <v>1</v>
      </c>
      <c r="M386" s="22" t="s">
        <v>34</v>
      </c>
    </row>
    <row r="387" spans="1:13" x14ac:dyDescent="0.35">
      <c r="A387" s="18">
        <v>25</v>
      </c>
      <c r="B387" s="22" t="s">
        <v>38</v>
      </c>
      <c r="C387" s="18" t="s">
        <v>20</v>
      </c>
      <c r="D387" s="18">
        <v>2</v>
      </c>
      <c r="E387" s="18" t="s">
        <v>21</v>
      </c>
      <c r="F387" s="18" t="s">
        <v>24</v>
      </c>
      <c r="G387" s="18" t="s">
        <v>10</v>
      </c>
      <c r="H387" s="18">
        <v>2238</v>
      </c>
      <c r="I387" s="22" t="s">
        <v>43</v>
      </c>
      <c r="J387" s="18">
        <v>18</v>
      </c>
      <c r="K387" s="18" t="s">
        <v>11</v>
      </c>
      <c r="L387" s="18">
        <v>1</v>
      </c>
      <c r="M387" s="22" t="s">
        <v>34</v>
      </c>
    </row>
    <row r="388" spans="1:13" x14ac:dyDescent="0.35">
      <c r="A388" s="18">
        <v>21</v>
      </c>
      <c r="B388" s="22" t="s">
        <v>38</v>
      </c>
      <c r="C388" s="18" t="s">
        <v>20</v>
      </c>
      <c r="D388" s="18">
        <v>2</v>
      </c>
      <c r="E388" s="18" t="s">
        <v>23</v>
      </c>
      <c r="F388" s="18" t="s">
        <v>10</v>
      </c>
      <c r="G388" s="18" t="s">
        <v>10</v>
      </c>
      <c r="H388" s="18">
        <v>1126</v>
      </c>
      <c r="I388" s="22" t="s">
        <v>46</v>
      </c>
      <c r="J388" s="18">
        <v>18</v>
      </c>
      <c r="K388" s="18" t="s">
        <v>11</v>
      </c>
      <c r="L388" s="18">
        <v>1</v>
      </c>
      <c r="M388" s="22" t="s">
        <v>34</v>
      </c>
    </row>
    <row r="389" spans="1:13" x14ac:dyDescent="0.35">
      <c r="A389" s="18">
        <v>40</v>
      </c>
      <c r="B389" s="22" t="s">
        <v>39</v>
      </c>
      <c r="C389" s="18" t="s">
        <v>19</v>
      </c>
      <c r="D389" s="18">
        <v>3</v>
      </c>
      <c r="E389" s="18" t="s">
        <v>21</v>
      </c>
      <c r="F389" s="18" t="s">
        <v>24</v>
      </c>
      <c r="G389" s="18" t="s">
        <v>27</v>
      </c>
      <c r="H389" s="18">
        <v>7374</v>
      </c>
      <c r="I389" s="22" t="s">
        <v>42</v>
      </c>
      <c r="J389" s="18">
        <v>18</v>
      </c>
      <c r="K389" s="18" t="s">
        <v>13</v>
      </c>
      <c r="L389" s="18">
        <v>1</v>
      </c>
      <c r="M389" s="22" t="s">
        <v>34</v>
      </c>
    </row>
    <row r="390" spans="1:13" x14ac:dyDescent="0.35">
      <c r="A390" s="18">
        <v>27</v>
      </c>
      <c r="B390" s="22" t="s">
        <v>38</v>
      </c>
      <c r="C390" s="18" t="s">
        <v>19</v>
      </c>
      <c r="D390" s="18">
        <v>2</v>
      </c>
      <c r="E390" s="18" t="s">
        <v>21</v>
      </c>
      <c r="F390" s="18" t="s">
        <v>25</v>
      </c>
      <c r="G390" s="18" t="s">
        <v>27</v>
      </c>
      <c r="H390" s="18">
        <v>2326</v>
      </c>
      <c r="I390" s="22" t="s">
        <v>43</v>
      </c>
      <c r="J390" s="18">
        <v>15</v>
      </c>
      <c r="K390" s="18" t="s">
        <v>15</v>
      </c>
      <c r="L390" s="18">
        <v>1</v>
      </c>
      <c r="M390" s="22" t="s">
        <v>34</v>
      </c>
    </row>
    <row r="391" spans="1:13" x14ac:dyDescent="0.35">
      <c r="A391" s="18">
        <v>27</v>
      </c>
      <c r="B391" s="22" t="s">
        <v>38</v>
      </c>
      <c r="C391" s="18" t="s">
        <v>20</v>
      </c>
      <c r="D391" s="18">
        <v>2</v>
      </c>
      <c r="E391" s="18" t="s">
        <v>21</v>
      </c>
      <c r="F391" s="18" t="s">
        <v>24</v>
      </c>
      <c r="G391" s="18" t="s">
        <v>10</v>
      </c>
      <c r="H391" s="18">
        <v>1449</v>
      </c>
      <c r="I391" s="22" t="s">
        <v>46</v>
      </c>
      <c r="J391" s="18">
        <v>9</v>
      </c>
      <c r="K391" s="18" t="s">
        <v>15</v>
      </c>
      <c r="L391" s="18">
        <v>1</v>
      </c>
      <c r="M391" s="22" t="s">
        <v>34</v>
      </c>
    </row>
    <row r="392" spans="1:13" x14ac:dyDescent="0.35">
      <c r="A392" s="18">
        <v>30</v>
      </c>
      <c r="B392" s="22" t="s">
        <v>39</v>
      </c>
      <c r="C392" s="18" t="s">
        <v>19</v>
      </c>
      <c r="D392" s="18">
        <v>3</v>
      </c>
      <c r="E392" s="18" t="s">
        <v>21</v>
      </c>
      <c r="F392" s="18" t="s">
        <v>24</v>
      </c>
      <c r="G392" s="18" t="s">
        <v>10</v>
      </c>
      <c r="H392" s="18">
        <v>1820</v>
      </c>
      <c r="I392" s="22" t="s">
        <v>46</v>
      </c>
      <c r="J392" s="18">
        <v>18</v>
      </c>
      <c r="K392" s="18" t="s">
        <v>14</v>
      </c>
      <c r="L392" s="18">
        <v>1</v>
      </c>
      <c r="M392" s="22" t="s">
        <v>34</v>
      </c>
    </row>
    <row r="393" spans="1:13" x14ac:dyDescent="0.35">
      <c r="A393" s="18">
        <v>19</v>
      </c>
      <c r="B393" s="22" t="s">
        <v>38</v>
      </c>
      <c r="C393" s="18" t="s">
        <v>20</v>
      </c>
      <c r="D393" s="18">
        <v>1</v>
      </c>
      <c r="E393" s="18" t="s">
        <v>23</v>
      </c>
      <c r="F393" s="18" t="s">
        <v>26</v>
      </c>
      <c r="G393" s="18" t="s">
        <v>27</v>
      </c>
      <c r="H393" s="18">
        <v>983</v>
      </c>
      <c r="I393" s="22" t="s">
        <v>46</v>
      </c>
      <c r="J393" s="18">
        <v>12</v>
      </c>
      <c r="K393" s="18" t="s">
        <v>13</v>
      </c>
      <c r="L393" s="18">
        <v>1</v>
      </c>
      <c r="M393" s="22" t="s">
        <v>34</v>
      </c>
    </row>
    <row r="394" spans="1:13" x14ac:dyDescent="0.35">
      <c r="A394" s="18">
        <v>39</v>
      </c>
      <c r="B394" s="22" t="s">
        <v>39</v>
      </c>
      <c r="C394" s="18" t="s">
        <v>19</v>
      </c>
      <c r="D394" s="18">
        <v>3</v>
      </c>
      <c r="E394" s="18" t="s">
        <v>22</v>
      </c>
      <c r="F394" s="18" t="s">
        <v>24</v>
      </c>
      <c r="G394" s="18" t="s">
        <v>24</v>
      </c>
      <c r="H394" s="18">
        <v>3249</v>
      </c>
      <c r="I394" s="22" t="s">
        <v>43</v>
      </c>
      <c r="J394" s="18">
        <v>36</v>
      </c>
      <c r="K394" s="18" t="s">
        <v>14</v>
      </c>
      <c r="L394" s="18">
        <v>1</v>
      </c>
      <c r="M394" s="22" t="s">
        <v>34</v>
      </c>
    </row>
    <row r="395" spans="1:13" x14ac:dyDescent="0.35">
      <c r="A395" s="18">
        <v>31</v>
      </c>
      <c r="B395" s="22" t="s">
        <v>39</v>
      </c>
      <c r="C395" s="18" t="s">
        <v>20</v>
      </c>
      <c r="D395" s="18">
        <v>2</v>
      </c>
      <c r="E395" s="18" t="s">
        <v>21</v>
      </c>
      <c r="F395" s="18" t="s">
        <v>24</v>
      </c>
      <c r="G395" s="18" t="s">
        <v>24</v>
      </c>
      <c r="H395" s="18">
        <v>1957</v>
      </c>
      <c r="I395" s="22" t="s">
        <v>46</v>
      </c>
      <c r="J395" s="18">
        <v>6</v>
      </c>
      <c r="K395" s="18" t="s">
        <v>11</v>
      </c>
      <c r="L395" s="18">
        <v>1</v>
      </c>
      <c r="M395" s="22" t="s">
        <v>34</v>
      </c>
    </row>
    <row r="396" spans="1:13" x14ac:dyDescent="0.35">
      <c r="A396" s="18">
        <v>31</v>
      </c>
      <c r="B396" s="22" t="s">
        <v>39</v>
      </c>
      <c r="C396" s="18" t="s">
        <v>19</v>
      </c>
      <c r="D396" s="18">
        <v>3</v>
      </c>
      <c r="E396" s="18" t="s">
        <v>21</v>
      </c>
      <c r="F396" s="18" t="s">
        <v>24</v>
      </c>
      <c r="G396" s="18" t="s">
        <v>10</v>
      </c>
      <c r="H396" s="18">
        <v>2406</v>
      </c>
      <c r="I396" s="22" t="s">
        <v>43</v>
      </c>
      <c r="J396" s="18">
        <v>9</v>
      </c>
      <c r="K396" s="18" t="s">
        <v>13</v>
      </c>
      <c r="L396" s="18">
        <v>1</v>
      </c>
      <c r="M396" s="22" t="s">
        <v>34</v>
      </c>
    </row>
    <row r="397" spans="1:13" x14ac:dyDescent="0.35">
      <c r="A397" s="18">
        <v>32</v>
      </c>
      <c r="B397" s="22" t="s">
        <v>39</v>
      </c>
      <c r="C397" s="18" t="s">
        <v>19</v>
      </c>
      <c r="D397" s="18">
        <v>2</v>
      </c>
      <c r="E397" s="18" t="s">
        <v>23</v>
      </c>
      <c r="F397" s="18" t="s">
        <v>27</v>
      </c>
      <c r="G397" s="18" t="s">
        <v>27</v>
      </c>
      <c r="H397" s="18">
        <v>11760</v>
      </c>
      <c r="I397" s="22" t="s">
        <v>42</v>
      </c>
      <c r="J397" s="18">
        <v>39</v>
      </c>
      <c r="K397" s="18" t="s">
        <v>12</v>
      </c>
      <c r="L397" s="18">
        <v>1</v>
      </c>
      <c r="M397" s="22" t="s">
        <v>34</v>
      </c>
    </row>
    <row r="398" spans="1:13" x14ac:dyDescent="0.35">
      <c r="A398" s="18">
        <v>55</v>
      </c>
      <c r="B398" s="22" t="s">
        <v>37</v>
      </c>
      <c r="C398" s="18" t="s">
        <v>20</v>
      </c>
      <c r="D398" s="18">
        <v>3</v>
      </c>
      <c r="E398" s="18" t="s">
        <v>22</v>
      </c>
      <c r="F398" s="18" t="s">
        <v>24</v>
      </c>
      <c r="G398" s="18" t="s">
        <v>24</v>
      </c>
      <c r="H398" s="18">
        <v>2578</v>
      </c>
      <c r="I398" s="22" t="s">
        <v>43</v>
      </c>
      <c r="J398" s="18">
        <v>12</v>
      </c>
      <c r="K398" s="18" t="s">
        <v>13</v>
      </c>
      <c r="L398" s="18">
        <v>1</v>
      </c>
      <c r="M398" s="22" t="s">
        <v>34</v>
      </c>
    </row>
    <row r="399" spans="1:13" x14ac:dyDescent="0.35">
      <c r="A399" s="18">
        <v>46</v>
      </c>
      <c r="B399" s="22" t="s">
        <v>39</v>
      </c>
      <c r="C399" s="18" t="s">
        <v>19</v>
      </c>
      <c r="D399" s="18">
        <v>2</v>
      </c>
      <c r="E399" s="18" t="s">
        <v>21</v>
      </c>
      <c r="F399" s="18" t="s">
        <v>24</v>
      </c>
      <c r="G399" s="18" t="s">
        <v>24</v>
      </c>
      <c r="H399" s="18">
        <v>2348</v>
      </c>
      <c r="I399" s="22" t="s">
        <v>43</v>
      </c>
      <c r="J399" s="18">
        <v>36</v>
      </c>
      <c r="K399" s="18" t="s">
        <v>13</v>
      </c>
      <c r="L399" s="18">
        <v>1</v>
      </c>
      <c r="M399" s="22" t="s">
        <v>34</v>
      </c>
    </row>
    <row r="400" spans="1:13" x14ac:dyDescent="0.35">
      <c r="A400" s="18">
        <v>46</v>
      </c>
      <c r="B400" s="22" t="s">
        <v>39</v>
      </c>
      <c r="C400" s="18" t="s">
        <v>19</v>
      </c>
      <c r="D400" s="18">
        <v>2</v>
      </c>
      <c r="E400" s="18" t="s">
        <v>23</v>
      </c>
      <c r="F400" s="18" t="s">
        <v>24</v>
      </c>
      <c r="G400" s="18" t="s">
        <v>27</v>
      </c>
      <c r="H400" s="18">
        <v>1223</v>
      </c>
      <c r="I400" s="22" t="s">
        <v>46</v>
      </c>
      <c r="J400" s="18">
        <v>12</v>
      </c>
      <c r="K400" s="18" t="s">
        <v>14</v>
      </c>
      <c r="L400" s="18">
        <v>2</v>
      </c>
      <c r="M400" s="22" t="s">
        <v>45</v>
      </c>
    </row>
    <row r="401" spans="1:13" x14ac:dyDescent="0.35">
      <c r="A401" s="18">
        <v>43</v>
      </c>
      <c r="B401" s="22" t="s">
        <v>39</v>
      </c>
      <c r="C401" s="18" t="s">
        <v>20</v>
      </c>
      <c r="D401" s="18">
        <v>1</v>
      </c>
      <c r="E401" s="18" t="s">
        <v>21</v>
      </c>
      <c r="F401" s="18" t="s">
        <v>26</v>
      </c>
      <c r="G401" s="18" t="s">
        <v>10</v>
      </c>
      <c r="H401" s="18">
        <v>1516</v>
      </c>
      <c r="I401" s="22" t="s">
        <v>46</v>
      </c>
      <c r="J401" s="18">
        <v>24</v>
      </c>
      <c r="K401" s="18" t="s">
        <v>11</v>
      </c>
      <c r="L401" s="18">
        <v>1</v>
      </c>
      <c r="M401" s="22" t="s">
        <v>34</v>
      </c>
    </row>
    <row r="402" spans="1:13" x14ac:dyDescent="0.35">
      <c r="A402" s="18">
        <v>39</v>
      </c>
      <c r="B402" s="22" t="s">
        <v>39</v>
      </c>
      <c r="C402" s="18" t="s">
        <v>19</v>
      </c>
      <c r="D402" s="18">
        <v>2</v>
      </c>
      <c r="E402" s="18" t="s">
        <v>21</v>
      </c>
      <c r="F402" s="18" t="s">
        <v>24</v>
      </c>
      <c r="G402" s="18" t="s">
        <v>10</v>
      </c>
      <c r="H402" s="18">
        <v>1473</v>
      </c>
      <c r="I402" s="22" t="s">
        <v>46</v>
      </c>
      <c r="J402" s="18">
        <v>18</v>
      </c>
      <c r="K402" s="18" t="s">
        <v>11</v>
      </c>
      <c r="L402" s="18">
        <v>1</v>
      </c>
      <c r="M402" s="22" t="s">
        <v>34</v>
      </c>
    </row>
    <row r="403" spans="1:13" x14ac:dyDescent="0.35">
      <c r="A403" s="18">
        <v>28</v>
      </c>
      <c r="B403" s="22" t="s">
        <v>38</v>
      </c>
      <c r="C403" s="18" t="s">
        <v>19</v>
      </c>
      <c r="D403" s="18">
        <v>2</v>
      </c>
      <c r="E403" s="18" t="s">
        <v>21</v>
      </c>
      <c r="F403" s="18" t="s">
        <v>10</v>
      </c>
      <c r="G403" s="18" t="s">
        <v>27</v>
      </c>
      <c r="H403" s="18">
        <v>1887</v>
      </c>
      <c r="I403" s="22" t="s">
        <v>46</v>
      </c>
      <c r="J403" s="18">
        <v>18</v>
      </c>
      <c r="K403" s="18" t="s">
        <v>15</v>
      </c>
      <c r="L403" s="18">
        <v>1</v>
      </c>
      <c r="M403" s="22" t="s">
        <v>34</v>
      </c>
    </row>
    <row r="404" spans="1:13" x14ac:dyDescent="0.35">
      <c r="A404" s="18">
        <v>27</v>
      </c>
      <c r="B404" s="22" t="s">
        <v>38</v>
      </c>
      <c r="C404" s="18" t="s">
        <v>19</v>
      </c>
      <c r="D404" s="18">
        <v>2</v>
      </c>
      <c r="E404" s="18" t="s">
        <v>21</v>
      </c>
      <c r="F404" s="18" t="s">
        <v>24</v>
      </c>
      <c r="G404" s="18" t="s">
        <v>10</v>
      </c>
      <c r="H404" s="18">
        <v>8648</v>
      </c>
      <c r="I404" s="22" t="s">
        <v>42</v>
      </c>
      <c r="J404" s="18">
        <v>24</v>
      </c>
      <c r="K404" s="18" t="s">
        <v>15</v>
      </c>
      <c r="L404" s="18">
        <v>2</v>
      </c>
      <c r="M404" s="22" t="s">
        <v>45</v>
      </c>
    </row>
    <row r="405" spans="1:13" x14ac:dyDescent="0.35">
      <c r="A405" s="18">
        <v>27</v>
      </c>
      <c r="B405" s="22" t="s">
        <v>38</v>
      </c>
      <c r="C405" s="18" t="s">
        <v>19</v>
      </c>
      <c r="D405" s="18">
        <v>1</v>
      </c>
      <c r="E405" s="18" t="s">
        <v>21</v>
      </c>
      <c r="F405" s="18" t="s">
        <v>24</v>
      </c>
      <c r="G405" s="18" t="s">
        <v>10</v>
      </c>
      <c r="H405" s="18">
        <v>802</v>
      </c>
      <c r="I405" s="22" t="s">
        <v>46</v>
      </c>
      <c r="J405" s="18">
        <v>14</v>
      </c>
      <c r="K405" s="18" t="s">
        <v>14</v>
      </c>
      <c r="L405" s="18">
        <v>1</v>
      </c>
      <c r="M405" s="22" t="s">
        <v>34</v>
      </c>
    </row>
    <row r="406" spans="1:13" x14ac:dyDescent="0.35">
      <c r="A406" s="18">
        <v>43</v>
      </c>
      <c r="B406" s="22" t="s">
        <v>39</v>
      </c>
      <c r="C406" s="18" t="s">
        <v>19</v>
      </c>
      <c r="D406" s="18">
        <v>2</v>
      </c>
      <c r="E406" s="18" t="s">
        <v>21</v>
      </c>
      <c r="F406" s="18" t="s">
        <v>10</v>
      </c>
      <c r="G406" s="18" t="s">
        <v>27</v>
      </c>
      <c r="H406" s="18">
        <v>2899</v>
      </c>
      <c r="I406" s="22" t="s">
        <v>43</v>
      </c>
      <c r="J406" s="18">
        <v>18</v>
      </c>
      <c r="K406" s="18" t="s">
        <v>14</v>
      </c>
      <c r="L406" s="18">
        <v>1</v>
      </c>
      <c r="M406" s="22" t="s">
        <v>34</v>
      </c>
    </row>
    <row r="407" spans="1:13" x14ac:dyDescent="0.35">
      <c r="A407" s="18">
        <v>22</v>
      </c>
      <c r="B407" s="22" t="s">
        <v>38</v>
      </c>
      <c r="C407" s="18" t="s">
        <v>19</v>
      </c>
      <c r="D407" s="18">
        <v>2</v>
      </c>
      <c r="E407" s="18" t="s">
        <v>21</v>
      </c>
      <c r="F407" s="18" t="s">
        <v>24</v>
      </c>
      <c r="G407" s="18" t="s">
        <v>27</v>
      </c>
      <c r="H407" s="18">
        <v>2039</v>
      </c>
      <c r="I407" s="22" t="s">
        <v>43</v>
      </c>
      <c r="J407" s="18">
        <v>24</v>
      </c>
      <c r="K407" s="18" t="s">
        <v>11</v>
      </c>
      <c r="L407" s="18">
        <v>2</v>
      </c>
      <c r="M407" s="22" t="s">
        <v>45</v>
      </c>
    </row>
    <row r="408" spans="1:13" x14ac:dyDescent="0.35">
      <c r="A408" s="18">
        <v>43</v>
      </c>
      <c r="B408" s="22" t="s">
        <v>39</v>
      </c>
      <c r="C408" s="18" t="s">
        <v>19</v>
      </c>
      <c r="D408" s="18">
        <v>2</v>
      </c>
      <c r="E408" s="18" t="s">
        <v>21</v>
      </c>
      <c r="F408" s="18" t="s">
        <v>10</v>
      </c>
      <c r="G408" s="18" t="s">
        <v>10</v>
      </c>
      <c r="H408" s="18">
        <v>2197</v>
      </c>
      <c r="I408" s="22" t="s">
        <v>43</v>
      </c>
      <c r="J408" s="18">
        <v>24</v>
      </c>
      <c r="K408" s="18" t="s">
        <v>14</v>
      </c>
      <c r="L408" s="18">
        <v>1</v>
      </c>
      <c r="M408" s="22" t="s">
        <v>34</v>
      </c>
    </row>
    <row r="409" spans="1:13" x14ac:dyDescent="0.35">
      <c r="A409" s="18">
        <v>27</v>
      </c>
      <c r="B409" s="22" t="s">
        <v>38</v>
      </c>
      <c r="C409" s="18" t="s">
        <v>19</v>
      </c>
      <c r="D409" s="18">
        <v>2</v>
      </c>
      <c r="E409" s="18" t="s">
        <v>21</v>
      </c>
      <c r="F409" s="18" t="s">
        <v>24</v>
      </c>
      <c r="G409" s="18" t="s">
        <v>24</v>
      </c>
      <c r="H409" s="18">
        <v>1053</v>
      </c>
      <c r="I409" s="22" t="s">
        <v>46</v>
      </c>
      <c r="J409" s="18">
        <v>15</v>
      </c>
      <c r="K409" s="18" t="s">
        <v>11</v>
      </c>
      <c r="L409" s="18">
        <v>1</v>
      </c>
      <c r="M409" s="22" t="s">
        <v>34</v>
      </c>
    </row>
    <row r="410" spans="1:13" x14ac:dyDescent="0.35">
      <c r="A410" s="18">
        <v>26</v>
      </c>
      <c r="B410" s="22" t="s">
        <v>38</v>
      </c>
      <c r="C410" s="18" t="s">
        <v>19</v>
      </c>
      <c r="D410" s="18">
        <v>3</v>
      </c>
      <c r="E410" s="18" t="s">
        <v>21</v>
      </c>
      <c r="F410" s="18" t="s">
        <v>25</v>
      </c>
      <c r="G410" s="18" t="s">
        <v>10</v>
      </c>
      <c r="H410" s="18">
        <v>3235</v>
      </c>
      <c r="I410" s="22" t="s">
        <v>43</v>
      </c>
      <c r="J410" s="18">
        <v>24</v>
      </c>
      <c r="K410" s="18" t="s">
        <v>11</v>
      </c>
      <c r="L410" s="18">
        <v>1</v>
      </c>
      <c r="M410" s="22" t="s">
        <v>34</v>
      </c>
    </row>
    <row r="411" spans="1:13" x14ac:dyDescent="0.35">
      <c r="A411" s="18">
        <v>28</v>
      </c>
      <c r="B411" s="22" t="s">
        <v>38</v>
      </c>
      <c r="C411" s="18" t="s">
        <v>19</v>
      </c>
      <c r="D411" s="18">
        <v>2</v>
      </c>
      <c r="E411" s="18" t="s">
        <v>21</v>
      </c>
      <c r="F411" s="18" t="s">
        <v>25</v>
      </c>
      <c r="G411" s="18" t="s">
        <v>26</v>
      </c>
      <c r="H411" s="18">
        <v>939</v>
      </c>
      <c r="I411" s="22" t="s">
        <v>46</v>
      </c>
      <c r="J411" s="18">
        <v>12</v>
      </c>
      <c r="K411" s="18" t="s">
        <v>14</v>
      </c>
      <c r="L411" s="18">
        <v>2</v>
      </c>
      <c r="M411" s="22" t="s">
        <v>45</v>
      </c>
    </row>
    <row r="412" spans="1:13" x14ac:dyDescent="0.35">
      <c r="A412" s="18">
        <v>20</v>
      </c>
      <c r="B412" s="22" t="s">
        <v>38</v>
      </c>
      <c r="C412" s="18" t="s">
        <v>20</v>
      </c>
      <c r="D412" s="18">
        <v>2</v>
      </c>
      <c r="E412" s="18" t="s">
        <v>21</v>
      </c>
      <c r="F412" s="18" t="s">
        <v>24</v>
      </c>
      <c r="G412" s="18" t="s">
        <v>27</v>
      </c>
      <c r="H412" s="18">
        <v>1967</v>
      </c>
      <c r="I412" s="22" t="s">
        <v>46</v>
      </c>
      <c r="J412" s="18">
        <v>24</v>
      </c>
      <c r="K412" s="18" t="s">
        <v>11</v>
      </c>
      <c r="L412" s="18">
        <v>1</v>
      </c>
      <c r="M412" s="22" t="s">
        <v>34</v>
      </c>
    </row>
    <row r="413" spans="1:13" x14ac:dyDescent="0.35">
      <c r="A413" s="18">
        <v>35</v>
      </c>
      <c r="B413" s="22" t="s">
        <v>39</v>
      </c>
      <c r="C413" s="18" t="s">
        <v>19</v>
      </c>
      <c r="D413" s="18">
        <v>3</v>
      </c>
      <c r="E413" s="18" t="s">
        <v>21</v>
      </c>
      <c r="F413" s="18" t="s">
        <v>24</v>
      </c>
      <c r="G413" s="18" t="s">
        <v>10</v>
      </c>
      <c r="H413" s="18">
        <v>7253</v>
      </c>
      <c r="I413" s="22" t="s">
        <v>42</v>
      </c>
      <c r="J413" s="18">
        <v>33</v>
      </c>
      <c r="K413" s="18" t="s">
        <v>14</v>
      </c>
      <c r="L413" s="18">
        <v>1</v>
      </c>
      <c r="M413" s="22" t="s">
        <v>34</v>
      </c>
    </row>
    <row r="414" spans="1:13" x14ac:dyDescent="0.35">
      <c r="A414" s="18">
        <v>42</v>
      </c>
      <c r="B414" s="22" t="s">
        <v>39</v>
      </c>
      <c r="C414" s="18" t="s">
        <v>19</v>
      </c>
      <c r="D414" s="18">
        <v>3</v>
      </c>
      <c r="E414" s="18" t="s">
        <v>21</v>
      </c>
      <c r="F414" s="18" t="s">
        <v>24</v>
      </c>
      <c r="G414" s="18" t="s">
        <v>10</v>
      </c>
      <c r="H414" s="18">
        <v>2292</v>
      </c>
      <c r="I414" s="22" t="s">
        <v>43</v>
      </c>
      <c r="J414" s="18">
        <v>12</v>
      </c>
      <c r="K414" s="18" t="s">
        <v>15</v>
      </c>
      <c r="L414" s="18">
        <v>2</v>
      </c>
      <c r="M414" s="22" t="s">
        <v>45</v>
      </c>
    </row>
    <row r="415" spans="1:13" x14ac:dyDescent="0.35">
      <c r="A415" s="18">
        <v>40</v>
      </c>
      <c r="B415" s="22" t="s">
        <v>39</v>
      </c>
      <c r="C415" s="18" t="s">
        <v>19</v>
      </c>
      <c r="D415" s="18">
        <v>1</v>
      </c>
      <c r="E415" s="18" t="s">
        <v>23</v>
      </c>
      <c r="F415" s="18" t="s">
        <v>25</v>
      </c>
      <c r="G415" s="18" t="s">
        <v>10</v>
      </c>
      <c r="H415" s="18">
        <v>1597</v>
      </c>
      <c r="I415" s="22" t="s">
        <v>46</v>
      </c>
      <c r="J415" s="18">
        <v>10</v>
      </c>
      <c r="K415" s="18" t="s">
        <v>14</v>
      </c>
      <c r="L415" s="18">
        <v>1</v>
      </c>
      <c r="M415" s="22" t="s">
        <v>34</v>
      </c>
    </row>
    <row r="416" spans="1:13" x14ac:dyDescent="0.35">
      <c r="A416" s="18">
        <v>35</v>
      </c>
      <c r="B416" s="22" t="s">
        <v>39</v>
      </c>
      <c r="C416" s="18" t="s">
        <v>20</v>
      </c>
      <c r="D416" s="18">
        <v>2</v>
      </c>
      <c r="E416" s="18" t="s">
        <v>21</v>
      </c>
      <c r="F416" s="18" t="s">
        <v>10</v>
      </c>
      <c r="G416" s="18" t="s">
        <v>24</v>
      </c>
      <c r="H416" s="18">
        <v>1381</v>
      </c>
      <c r="I416" s="22" t="s">
        <v>46</v>
      </c>
      <c r="J416" s="18">
        <v>24</v>
      </c>
      <c r="K416" s="18" t="s">
        <v>14</v>
      </c>
      <c r="L416" s="18">
        <v>2</v>
      </c>
      <c r="M416" s="22" t="s">
        <v>45</v>
      </c>
    </row>
    <row r="417" spans="1:13" x14ac:dyDescent="0.35">
      <c r="A417" s="18">
        <v>35</v>
      </c>
      <c r="B417" s="22" t="s">
        <v>39</v>
      </c>
      <c r="C417" s="18" t="s">
        <v>19</v>
      </c>
      <c r="D417" s="18">
        <v>2</v>
      </c>
      <c r="E417" s="18" t="s">
        <v>21</v>
      </c>
      <c r="F417" s="18" t="s">
        <v>24</v>
      </c>
      <c r="G417" s="18" t="s">
        <v>10</v>
      </c>
      <c r="H417" s="18">
        <v>5842</v>
      </c>
      <c r="I417" s="22" t="s">
        <v>42</v>
      </c>
      <c r="J417" s="18">
        <v>36</v>
      </c>
      <c r="K417" s="18" t="s">
        <v>14</v>
      </c>
      <c r="L417" s="18">
        <v>1</v>
      </c>
      <c r="M417" s="22" t="s">
        <v>34</v>
      </c>
    </row>
    <row r="418" spans="1:13" x14ac:dyDescent="0.35">
      <c r="A418" s="18">
        <v>33</v>
      </c>
      <c r="B418" s="22" t="s">
        <v>39</v>
      </c>
      <c r="C418" s="18" t="s">
        <v>19</v>
      </c>
      <c r="D418" s="18">
        <v>1</v>
      </c>
      <c r="E418" s="18" t="s">
        <v>21</v>
      </c>
      <c r="F418" s="18" t="s">
        <v>24</v>
      </c>
      <c r="G418" s="18" t="s">
        <v>24</v>
      </c>
      <c r="H418" s="18">
        <v>2579</v>
      </c>
      <c r="I418" s="22" t="s">
        <v>43</v>
      </c>
      <c r="J418" s="18">
        <v>12</v>
      </c>
      <c r="K418" s="18" t="s">
        <v>14</v>
      </c>
      <c r="L418" s="18">
        <v>2</v>
      </c>
      <c r="M418" s="22" t="s">
        <v>45</v>
      </c>
    </row>
    <row r="419" spans="1:13" x14ac:dyDescent="0.35">
      <c r="A419" s="18">
        <v>23</v>
      </c>
      <c r="B419" s="22" t="s">
        <v>38</v>
      </c>
      <c r="C419" s="18" t="s">
        <v>20</v>
      </c>
      <c r="D419" s="18">
        <v>2</v>
      </c>
      <c r="E419" s="18" t="s">
        <v>23</v>
      </c>
      <c r="F419" s="18" t="s">
        <v>10</v>
      </c>
      <c r="G419" s="18" t="s">
        <v>24</v>
      </c>
      <c r="H419" s="18">
        <v>8471</v>
      </c>
      <c r="I419" s="22" t="s">
        <v>42</v>
      </c>
      <c r="J419" s="18">
        <v>18</v>
      </c>
      <c r="K419" s="18" t="s">
        <v>12</v>
      </c>
      <c r="L419" s="18">
        <v>1</v>
      </c>
      <c r="M419" s="22" t="s">
        <v>34</v>
      </c>
    </row>
    <row r="420" spans="1:13" x14ac:dyDescent="0.35">
      <c r="A420" s="18">
        <v>31</v>
      </c>
      <c r="B420" s="22" t="s">
        <v>39</v>
      </c>
      <c r="C420" s="18" t="s">
        <v>20</v>
      </c>
      <c r="D420" s="18">
        <v>3</v>
      </c>
      <c r="E420" s="18" t="s">
        <v>21</v>
      </c>
      <c r="F420" s="18" t="s">
        <v>25</v>
      </c>
      <c r="G420" s="18" t="s">
        <v>10</v>
      </c>
      <c r="H420" s="18">
        <v>2782</v>
      </c>
      <c r="I420" s="22" t="s">
        <v>43</v>
      </c>
      <c r="J420" s="18">
        <v>21</v>
      </c>
      <c r="K420" s="18" t="s">
        <v>14</v>
      </c>
      <c r="L420" s="18">
        <v>1</v>
      </c>
      <c r="M420" s="22" t="s">
        <v>34</v>
      </c>
    </row>
    <row r="421" spans="1:13" x14ac:dyDescent="0.35">
      <c r="A421" s="18">
        <v>33</v>
      </c>
      <c r="B421" s="22" t="s">
        <v>39</v>
      </c>
      <c r="C421" s="18" t="s">
        <v>20</v>
      </c>
      <c r="D421" s="18">
        <v>2</v>
      </c>
      <c r="E421" s="18" t="s">
        <v>21</v>
      </c>
      <c r="F421" s="18" t="s">
        <v>10</v>
      </c>
      <c r="G421" s="18" t="s">
        <v>27</v>
      </c>
      <c r="H421" s="18">
        <v>1042</v>
      </c>
      <c r="I421" s="22" t="s">
        <v>46</v>
      </c>
      <c r="J421" s="18">
        <v>18</v>
      </c>
      <c r="K421" s="18" t="s">
        <v>14</v>
      </c>
      <c r="L421" s="18">
        <v>2</v>
      </c>
      <c r="M421" s="22" t="s">
        <v>45</v>
      </c>
    </row>
    <row r="422" spans="1:13" x14ac:dyDescent="0.35">
      <c r="A422" s="18">
        <v>20</v>
      </c>
      <c r="B422" s="22" t="s">
        <v>38</v>
      </c>
      <c r="C422" s="18" t="s">
        <v>20</v>
      </c>
      <c r="D422" s="18">
        <v>2</v>
      </c>
      <c r="E422" s="18" t="s">
        <v>23</v>
      </c>
      <c r="F422" s="18" t="s">
        <v>26</v>
      </c>
      <c r="G422" s="18" t="s">
        <v>10</v>
      </c>
      <c r="H422" s="18">
        <v>3186</v>
      </c>
      <c r="I422" s="22" t="s">
        <v>43</v>
      </c>
      <c r="J422" s="18">
        <v>15</v>
      </c>
      <c r="K422" s="18" t="s">
        <v>14</v>
      </c>
      <c r="L422" s="18">
        <v>1</v>
      </c>
      <c r="M422" s="22" t="s">
        <v>34</v>
      </c>
    </row>
    <row r="423" spans="1:13" x14ac:dyDescent="0.35">
      <c r="A423" s="18">
        <v>30</v>
      </c>
      <c r="B423" s="22" t="s">
        <v>39</v>
      </c>
      <c r="C423" s="18" t="s">
        <v>19</v>
      </c>
      <c r="D423" s="18">
        <v>2</v>
      </c>
      <c r="E423" s="18" t="s">
        <v>21</v>
      </c>
      <c r="F423" s="18" t="s">
        <v>10</v>
      </c>
      <c r="G423" s="18" t="s">
        <v>27</v>
      </c>
      <c r="H423" s="18">
        <v>2028</v>
      </c>
      <c r="I423" s="22" t="s">
        <v>43</v>
      </c>
      <c r="J423" s="18">
        <v>12</v>
      </c>
      <c r="K423" s="18" t="s">
        <v>14</v>
      </c>
      <c r="L423" s="18">
        <v>1</v>
      </c>
      <c r="M423" s="22" t="s">
        <v>34</v>
      </c>
    </row>
    <row r="424" spans="1:13" x14ac:dyDescent="0.35">
      <c r="A424" s="18">
        <v>47</v>
      </c>
      <c r="B424" s="22" t="s">
        <v>39</v>
      </c>
      <c r="C424" s="18" t="s">
        <v>19</v>
      </c>
      <c r="D424" s="18">
        <v>1</v>
      </c>
      <c r="E424" s="18" t="s">
        <v>21</v>
      </c>
      <c r="F424" s="18" t="s">
        <v>24</v>
      </c>
      <c r="G424" s="18" t="s">
        <v>27</v>
      </c>
      <c r="H424" s="18">
        <v>958</v>
      </c>
      <c r="I424" s="22" t="s">
        <v>46</v>
      </c>
      <c r="J424" s="18">
        <v>12</v>
      </c>
      <c r="K424" s="18" t="s">
        <v>14</v>
      </c>
      <c r="L424" s="18">
        <v>1</v>
      </c>
      <c r="M424" s="22" t="s">
        <v>34</v>
      </c>
    </row>
    <row r="425" spans="1:13" x14ac:dyDescent="0.35">
      <c r="A425" s="18">
        <v>34</v>
      </c>
      <c r="B425" s="22" t="s">
        <v>39</v>
      </c>
      <c r="C425" s="18" t="s">
        <v>19</v>
      </c>
      <c r="D425" s="18">
        <v>3</v>
      </c>
      <c r="E425" s="18" t="s">
        <v>21</v>
      </c>
      <c r="F425" s="18" t="s">
        <v>27</v>
      </c>
      <c r="G425" s="18" t="s">
        <v>10</v>
      </c>
      <c r="H425" s="18">
        <v>1591</v>
      </c>
      <c r="I425" s="22" t="s">
        <v>46</v>
      </c>
      <c r="J425" s="18">
        <v>21</v>
      </c>
      <c r="K425" s="18" t="s">
        <v>13</v>
      </c>
      <c r="L425" s="18">
        <v>1</v>
      </c>
      <c r="M425" s="22" t="s">
        <v>34</v>
      </c>
    </row>
    <row r="426" spans="1:13" x14ac:dyDescent="0.35">
      <c r="A426" s="18">
        <v>25</v>
      </c>
      <c r="B426" s="22" t="s">
        <v>38</v>
      </c>
      <c r="C426" s="18" t="s">
        <v>20</v>
      </c>
      <c r="D426" s="18">
        <v>2</v>
      </c>
      <c r="E426" s="18" t="s">
        <v>21</v>
      </c>
      <c r="F426" s="18" t="s">
        <v>10</v>
      </c>
      <c r="G426" s="18" t="s">
        <v>27</v>
      </c>
      <c r="H426" s="18">
        <v>2762</v>
      </c>
      <c r="I426" s="22" t="s">
        <v>43</v>
      </c>
      <c r="J426" s="18">
        <v>12</v>
      </c>
      <c r="K426" s="18" t="s">
        <v>13</v>
      </c>
      <c r="L426" s="18">
        <v>2</v>
      </c>
      <c r="M426" s="22" t="s">
        <v>45</v>
      </c>
    </row>
    <row r="427" spans="1:13" x14ac:dyDescent="0.35">
      <c r="A427" s="18">
        <v>21</v>
      </c>
      <c r="B427" s="22" t="s">
        <v>38</v>
      </c>
      <c r="C427" s="18" t="s">
        <v>19</v>
      </c>
      <c r="D427" s="18">
        <v>2</v>
      </c>
      <c r="E427" s="18" t="s">
        <v>23</v>
      </c>
      <c r="F427" s="18" t="s">
        <v>24</v>
      </c>
      <c r="G427" s="18" t="s">
        <v>27</v>
      </c>
      <c r="H427" s="18">
        <v>2779</v>
      </c>
      <c r="I427" s="22" t="s">
        <v>43</v>
      </c>
      <c r="J427" s="18">
        <v>18</v>
      </c>
      <c r="K427" s="18" t="s">
        <v>14</v>
      </c>
      <c r="L427" s="18">
        <v>1</v>
      </c>
      <c r="M427" s="22" t="s">
        <v>34</v>
      </c>
    </row>
    <row r="428" spans="1:13" x14ac:dyDescent="0.35">
      <c r="A428" s="18">
        <v>29</v>
      </c>
      <c r="B428" s="22" t="s">
        <v>38</v>
      </c>
      <c r="C428" s="18" t="s">
        <v>19</v>
      </c>
      <c r="D428" s="18">
        <v>2</v>
      </c>
      <c r="E428" s="18" t="s">
        <v>21</v>
      </c>
      <c r="F428" s="18" t="s">
        <v>24</v>
      </c>
      <c r="G428" s="18" t="s">
        <v>10</v>
      </c>
      <c r="H428" s="18">
        <v>2743</v>
      </c>
      <c r="I428" s="22" t="s">
        <v>43</v>
      </c>
      <c r="J428" s="18">
        <v>28</v>
      </c>
      <c r="K428" s="18" t="s">
        <v>11</v>
      </c>
      <c r="L428" s="18">
        <v>1</v>
      </c>
      <c r="M428" s="22" t="s">
        <v>34</v>
      </c>
    </row>
    <row r="429" spans="1:13" x14ac:dyDescent="0.35">
      <c r="A429" s="18">
        <v>46</v>
      </c>
      <c r="B429" s="22" t="s">
        <v>39</v>
      </c>
      <c r="C429" s="18" t="s">
        <v>19</v>
      </c>
      <c r="D429" s="18">
        <v>2</v>
      </c>
      <c r="E429" s="18" t="s">
        <v>21</v>
      </c>
      <c r="F429" s="18" t="s">
        <v>26</v>
      </c>
      <c r="G429" s="18" t="s">
        <v>10</v>
      </c>
      <c r="H429" s="18">
        <v>1149</v>
      </c>
      <c r="I429" s="22" t="s">
        <v>46</v>
      </c>
      <c r="J429" s="18">
        <v>18</v>
      </c>
      <c r="K429" s="18" t="s">
        <v>11</v>
      </c>
      <c r="L429" s="18">
        <v>1</v>
      </c>
      <c r="M429" s="22" t="s">
        <v>34</v>
      </c>
    </row>
    <row r="430" spans="1:13" x14ac:dyDescent="0.35">
      <c r="A430" s="18">
        <v>20</v>
      </c>
      <c r="B430" s="22" t="s">
        <v>38</v>
      </c>
      <c r="C430" s="18" t="s">
        <v>19</v>
      </c>
      <c r="D430" s="18">
        <v>2</v>
      </c>
      <c r="E430" s="18" t="s">
        <v>21</v>
      </c>
      <c r="F430" s="18" t="s">
        <v>24</v>
      </c>
      <c r="G430" s="18" t="s">
        <v>10</v>
      </c>
      <c r="H430" s="18">
        <v>1313</v>
      </c>
      <c r="I430" s="22" t="s">
        <v>46</v>
      </c>
      <c r="J430" s="18">
        <v>9</v>
      </c>
      <c r="K430" s="18" t="s">
        <v>13</v>
      </c>
      <c r="L430" s="18">
        <v>1</v>
      </c>
      <c r="M430" s="22" t="s">
        <v>34</v>
      </c>
    </row>
    <row r="431" spans="1:13" x14ac:dyDescent="0.35">
      <c r="A431" s="18">
        <v>55</v>
      </c>
      <c r="B431" s="22" t="s">
        <v>37</v>
      </c>
      <c r="C431" s="18" t="s">
        <v>20</v>
      </c>
      <c r="D431" s="18">
        <v>0</v>
      </c>
      <c r="E431" s="18" t="s">
        <v>22</v>
      </c>
      <c r="F431" s="18" t="s">
        <v>24</v>
      </c>
      <c r="G431" s="18" t="s">
        <v>24</v>
      </c>
      <c r="H431" s="18">
        <v>1190</v>
      </c>
      <c r="I431" s="22" t="s">
        <v>46</v>
      </c>
      <c r="J431" s="18">
        <v>18</v>
      </c>
      <c r="K431" s="18" t="s">
        <v>17</v>
      </c>
      <c r="L431" s="18">
        <v>2</v>
      </c>
      <c r="M431" s="22" t="s">
        <v>45</v>
      </c>
    </row>
    <row r="432" spans="1:13" x14ac:dyDescent="0.35">
      <c r="A432" s="18">
        <v>74</v>
      </c>
      <c r="B432" s="22" t="s">
        <v>37</v>
      </c>
      <c r="C432" s="18" t="s">
        <v>19</v>
      </c>
      <c r="D432" s="18">
        <v>1</v>
      </c>
      <c r="E432" s="18" t="s">
        <v>21</v>
      </c>
      <c r="F432" s="18" t="s">
        <v>24</v>
      </c>
      <c r="G432" s="18" t="s">
        <v>10</v>
      </c>
      <c r="H432" s="18">
        <v>3448</v>
      </c>
      <c r="I432" s="22" t="s">
        <v>43</v>
      </c>
      <c r="J432" s="18">
        <v>5</v>
      </c>
      <c r="K432" s="18" t="s">
        <v>15</v>
      </c>
      <c r="L432" s="18">
        <v>1</v>
      </c>
      <c r="M432" s="22" t="s">
        <v>34</v>
      </c>
    </row>
    <row r="433" spans="1:13" x14ac:dyDescent="0.35">
      <c r="A433" s="18">
        <v>29</v>
      </c>
      <c r="B433" s="22" t="s">
        <v>38</v>
      </c>
      <c r="C433" s="18" t="s">
        <v>19</v>
      </c>
      <c r="D433" s="18">
        <v>3</v>
      </c>
      <c r="E433" s="18" t="s">
        <v>21</v>
      </c>
      <c r="F433" s="18" t="s">
        <v>24</v>
      </c>
      <c r="G433" s="18" t="s">
        <v>27</v>
      </c>
      <c r="H433" s="18">
        <v>11328</v>
      </c>
      <c r="I433" s="22" t="s">
        <v>42</v>
      </c>
      <c r="J433" s="18">
        <v>24</v>
      </c>
      <c r="K433" s="18" t="s">
        <v>18</v>
      </c>
      <c r="L433" s="18">
        <v>2</v>
      </c>
      <c r="M433" s="22" t="s">
        <v>45</v>
      </c>
    </row>
    <row r="434" spans="1:13" x14ac:dyDescent="0.35">
      <c r="A434" s="18">
        <v>36</v>
      </c>
      <c r="B434" s="22" t="s">
        <v>39</v>
      </c>
      <c r="C434" s="18" t="s">
        <v>19</v>
      </c>
      <c r="D434" s="18">
        <v>3</v>
      </c>
      <c r="E434" s="18" t="s">
        <v>22</v>
      </c>
      <c r="F434" s="18" t="s">
        <v>24</v>
      </c>
      <c r="G434" s="18" t="s">
        <v>24</v>
      </c>
      <c r="H434" s="18">
        <v>1872</v>
      </c>
      <c r="I434" s="22" t="s">
        <v>46</v>
      </c>
      <c r="J434" s="18">
        <v>6</v>
      </c>
      <c r="K434" s="18" t="s">
        <v>13</v>
      </c>
      <c r="L434" s="18">
        <v>1</v>
      </c>
      <c r="M434" s="22" t="s">
        <v>34</v>
      </c>
    </row>
    <row r="435" spans="1:13" x14ac:dyDescent="0.35">
      <c r="A435" s="18">
        <v>33</v>
      </c>
      <c r="B435" s="22" t="s">
        <v>39</v>
      </c>
      <c r="C435" s="18" t="s">
        <v>19</v>
      </c>
      <c r="D435" s="18">
        <v>2</v>
      </c>
      <c r="E435" s="18" t="s">
        <v>21</v>
      </c>
      <c r="F435" s="18" t="s">
        <v>24</v>
      </c>
      <c r="G435" s="18" t="s">
        <v>10</v>
      </c>
      <c r="H435" s="18">
        <v>2058</v>
      </c>
      <c r="I435" s="22" t="s">
        <v>43</v>
      </c>
      <c r="J435" s="18">
        <v>24</v>
      </c>
      <c r="K435" s="18" t="s">
        <v>17</v>
      </c>
      <c r="L435" s="18">
        <v>1</v>
      </c>
      <c r="M435" s="22" t="s">
        <v>34</v>
      </c>
    </row>
    <row r="436" spans="1:13" x14ac:dyDescent="0.35">
      <c r="A436" s="18">
        <v>25</v>
      </c>
      <c r="B436" s="22" t="s">
        <v>38</v>
      </c>
      <c r="C436" s="18" t="s">
        <v>19</v>
      </c>
      <c r="D436" s="18">
        <v>2</v>
      </c>
      <c r="E436" s="18" t="s">
        <v>21</v>
      </c>
      <c r="F436" s="18" t="s">
        <v>24</v>
      </c>
      <c r="G436" s="18" t="s">
        <v>24</v>
      </c>
      <c r="H436" s="18">
        <v>2136</v>
      </c>
      <c r="I436" s="22" t="s">
        <v>43</v>
      </c>
      <c r="J436" s="18">
        <v>9</v>
      </c>
      <c r="K436" s="18" t="s">
        <v>13</v>
      </c>
      <c r="L436" s="18">
        <v>1</v>
      </c>
      <c r="M436" s="22" t="s">
        <v>34</v>
      </c>
    </row>
    <row r="437" spans="1:13" x14ac:dyDescent="0.35">
      <c r="A437" s="18">
        <v>25</v>
      </c>
      <c r="B437" s="22" t="s">
        <v>38</v>
      </c>
      <c r="C437" s="18" t="s">
        <v>19</v>
      </c>
      <c r="D437" s="18">
        <v>2</v>
      </c>
      <c r="E437" s="18" t="s">
        <v>21</v>
      </c>
      <c r="F437" s="18" t="s">
        <v>10</v>
      </c>
      <c r="G437" s="18" t="s">
        <v>27</v>
      </c>
      <c r="H437" s="18">
        <v>1484</v>
      </c>
      <c r="I437" s="22" t="s">
        <v>46</v>
      </c>
      <c r="J437" s="18">
        <v>12</v>
      </c>
      <c r="K437" s="18" t="s">
        <v>11</v>
      </c>
      <c r="L437" s="18">
        <v>2</v>
      </c>
      <c r="M437" s="22" t="s">
        <v>45</v>
      </c>
    </row>
    <row r="438" spans="1:13" x14ac:dyDescent="0.35">
      <c r="A438" s="18">
        <v>23</v>
      </c>
      <c r="B438" s="22" t="s">
        <v>38</v>
      </c>
      <c r="C438" s="18" t="s">
        <v>19</v>
      </c>
      <c r="D438" s="18">
        <v>1</v>
      </c>
      <c r="E438" s="18" t="s">
        <v>23</v>
      </c>
      <c r="F438" s="18" t="s">
        <v>25</v>
      </c>
      <c r="G438" s="18" t="s">
        <v>10</v>
      </c>
      <c r="H438" s="18">
        <v>660</v>
      </c>
      <c r="I438" s="22" t="s">
        <v>46</v>
      </c>
      <c r="J438" s="18">
        <v>6</v>
      </c>
      <c r="K438" s="18" t="s">
        <v>17</v>
      </c>
      <c r="L438" s="18">
        <v>1</v>
      </c>
      <c r="M438" s="22" t="s">
        <v>34</v>
      </c>
    </row>
    <row r="439" spans="1:13" x14ac:dyDescent="0.35">
      <c r="A439" s="18">
        <v>37</v>
      </c>
      <c r="B439" s="22" t="s">
        <v>39</v>
      </c>
      <c r="C439" s="18" t="s">
        <v>20</v>
      </c>
      <c r="D439" s="18">
        <v>2</v>
      </c>
      <c r="E439" s="18" t="s">
        <v>21</v>
      </c>
      <c r="F439" s="18" t="s">
        <v>26</v>
      </c>
      <c r="G439" s="18" t="s">
        <v>10</v>
      </c>
      <c r="H439" s="18">
        <v>1287</v>
      </c>
      <c r="I439" s="22" t="s">
        <v>46</v>
      </c>
      <c r="J439" s="18">
        <v>24</v>
      </c>
      <c r="K439" s="18" t="s">
        <v>14</v>
      </c>
      <c r="L439" s="18">
        <v>1</v>
      </c>
      <c r="M439" s="22" t="s">
        <v>34</v>
      </c>
    </row>
    <row r="440" spans="1:13" x14ac:dyDescent="0.35">
      <c r="A440" s="18">
        <v>65</v>
      </c>
      <c r="B440" s="22" t="s">
        <v>37</v>
      </c>
      <c r="C440" s="18" t="s">
        <v>19</v>
      </c>
      <c r="D440" s="18">
        <v>0</v>
      </c>
      <c r="E440" s="18" t="s">
        <v>21</v>
      </c>
      <c r="F440" s="18" t="s">
        <v>24</v>
      </c>
      <c r="G440" s="18" t="s">
        <v>24</v>
      </c>
      <c r="H440" s="18">
        <v>3394</v>
      </c>
      <c r="I440" s="22" t="s">
        <v>43</v>
      </c>
      <c r="J440" s="18">
        <v>42</v>
      </c>
      <c r="K440" s="18" t="s">
        <v>17</v>
      </c>
      <c r="L440" s="18">
        <v>1</v>
      </c>
      <c r="M440" s="22" t="s">
        <v>34</v>
      </c>
    </row>
    <row r="441" spans="1:13" x14ac:dyDescent="0.35">
      <c r="A441" s="18">
        <v>26</v>
      </c>
      <c r="B441" s="22" t="s">
        <v>38</v>
      </c>
      <c r="C441" s="18" t="s">
        <v>20</v>
      </c>
      <c r="D441" s="18">
        <v>0</v>
      </c>
      <c r="E441" s="18" t="s">
        <v>21</v>
      </c>
      <c r="F441" s="18" t="s">
        <v>24</v>
      </c>
      <c r="G441" s="18" t="s">
        <v>26</v>
      </c>
      <c r="H441" s="18">
        <v>609</v>
      </c>
      <c r="I441" s="22" t="s">
        <v>46</v>
      </c>
      <c r="J441" s="18">
        <v>12</v>
      </c>
      <c r="K441" s="18" t="s">
        <v>15</v>
      </c>
      <c r="L441" s="18">
        <v>2</v>
      </c>
      <c r="M441" s="22" t="s">
        <v>45</v>
      </c>
    </row>
    <row r="442" spans="1:13" x14ac:dyDescent="0.35">
      <c r="A442" s="18">
        <v>39</v>
      </c>
      <c r="B442" s="22" t="s">
        <v>39</v>
      </c>
      <c r="C442" s="18" t="s">
        <v>19</v>
      </c>
      <c r="D442" s="18">
        <v>3</v>
      </c>
      <c r="E442" s="18" t="s">
        <v>21</v>
      </c>
      <c r="F442" s="18" t="s">
        <v>24</v>
      </c>
      <c r="G442" s="18" t="s">
        <v>10</v>
      </c>
      <c r="H442" s="18">
        <v>1884</v>
      </c>
      <c r="I442" s="22" t="s">
        <v>46</v>
      </c>
      <c r="J442" s="18">
        <v>12</v>
      </c>
      <c r="K442" s="18" t="s">
        <v>14</v>
      </c>
      <c r="L442" s="18">
        <v>1</v>
      </c>
      <c r="M442" s="22" t="s">
        <v>34</v>
      </c>
    </row>
    <row r="443" spans="1:13" x14ac:dyDescent="0.35">
      <c r="A443" s="18">
        <v>30</v>
      </c>
      <c r="B443" s="22" t="s">
        <v>39</v>
      </c>
      <c r="C443" s="18" t="s">
        <v>20</v>
      </c>
      <c r="D443" s="18">
        <v>2</v>
      </c>
      <c r="E443" s="18" t="s">
        <v>21</v>
      </c>
      <c r="F443" s="18" t="s">
        <v>24</v>
      </c>
      <c r="G443" s="18" t="s">
        <v>24</v>
      </c>
      <c r="H443" s="18">
        <v>1620</v>
      </c>
      <c r="I443" s="22" t="s">
        <v>46</v>
      </c>
      <c r="J443" s="18">
        <v>12</v>
      </c>
      <c r="K443" s="18" t="s">
        <v>13</v>
      </c>
      <c r="L443" s="18">
        <v>1</v>
      </c>
      <c r="M443" s="22" t="s">
        <v>34</v>
      </c>
    </row>
    <row r="444" spans="1:13" x14ac:dyDescent="0.35">
      <c r="A444" s="18">
        <v>29</v>
      </c>
      <c r="B444" s="22" t="s">
        <v>38</v>
      </c>
      <c r="C444" s="18" t="s">
        <v>19</v>
      </c>
      <c r="D444" s="18">
        <v>2</v>
      </c>
      <c r="E444" s="18" t="s">
        <v>21</v>
      </c>
      <c r="F444" s="18" t="s">
        <v>24</v>
      </c>
      <c r="G444" s="18" t="s">
        <v>27</v>
      </c>
      <c r="H444" s="18">
        <v>2629</v>
      </c>
      <c r="I444" s="22" t="s">
        <v>43</v>
      </c>
      <c r="J444" s="18">
        <v>20</v>
      </c>
      <c r="K444" s="18" t="s">
        <v>18</v>
      </c>
      <c r="L444" s="18">
        <v>1</v>
      </c>
      <c r="M444" s="22" t="s">
        <v>34</v>
      </c>
    </row>
    <row r="445" spans="1:13" x14ac:dyDescent="0.35">
      <c r="A445" s="18">
        <v>41</v>
      </c>
      <c r="B445" s="22" t="s">
        <v>39</v>
      </c>
      <c r="C445" s="18" t="s">
        <v>19</v>
      </c>
      <c r="D445" s="18">
        <v>1</v>
      </c>
      <c r="E445" s="18" t="s">
        <v>21</v>
      </c>
      <c r="F445" s="18" t="s">
        <v>24</v>
      </c>
      <c r="G445" s="18" t="s">
        <v>10</v>
      </c>
      <c r="H445" s="18">
        <v>719</v>
      </c>
      <c r="I445" s="22" t="s">
        <v>46</v>
      </c>
      <c r="J445" s="18">
        <v>12</v>
      </c>
      <c r="K445" s="18" t="s">
        <v>12</v>
      </c>
      <c r="L445" s="18">
        <v>2</v>
      </c>
      <c r="M445" s="22" t="s">
        <v>45</v>
      </c>
    </row>
    <row r="446" spans="1:13" x14ac:dyDescent="0.35">
      <c r="A446" s="18">
        <v>30</v>
      </c>
      <c r="B446" s="22" t="s">
        <v>39</v>
      </c>
      <c r="C446" s="18" t="s">
        <v>20</v>
      </c>
      <c r="D446" s="18">
        <v>3</v>
      </c>
      <c r="E446" s="18" t="s">
        <v>21</v>
      </c>
      <c r="F446" s="18" t="s">
        <v>24</v>
      </c>
      <c r="G446" s="18" t="s">
        <v>27</v>
      </c>
      <c r="H446" s="18">
        <v>5096</v>
      </c>
      <c r="I446" s="22" t="s">
        <v>42</v>
      </c>
      <c r="J446" s="18">
        <v>48</v>
      </c>
      <c r="K446" s="18" t="s">
        <v>13</v>
      </c>
      <c r="L446" s="18">
        <v>2</v>
      </c>
      <c r="M446" s="22" t="s">
        <v>45</v>
      </c>
    </row>
    <row r="447" spans="1:13" x14ac:dyDescent="0.35">
      <c r="A447" s="18">
        <v>41</v>
      </c>
      <c r="B447" s="22" t="s">
        <v>39</v>
      </c>
      <c r="C447" s="18" t="s">
        <v>20</v>
      </c>
      <c r="D447" s="18">
        <v>1</v>
      </c>
      <c r="E447" s="18" t="s">
        <v>23</v>
      </c>
      <c r="F447" s="18" t="s">
        <v>10</v>
      </c>
      <c r="G447" s="18" t="s">
        <v>10</v>
      </c>
      <c r="H447" s="18">
        <v>1244</v>
      </c>
      <c r="I447" s="22" t="s">
        <v>46</v>
      </c>
      <c r="J447" s="18">
        <v>9</v>
      </c>
      <c r="K447" s="18" t="s">
        <v>12</v>
      </c>
      <c r="L447" s="18">
        <v>1</v>
      </c>
      <c r="M447" s="22" t="s">
        <v>34</v>
      </c>
    </row>
    <row r="448" spans="1:13" x14ac:dyDescent="0.35">
      <c r="A448" s="18">
        <v>34</v>
      </c>
      <c r="B448" s="22" t="s">
        <v>39</v>
      </c>
      <c r="C448" s="18" t="s">
        <v>20</v>
      </c>
      <c r="D448" s="18">
        <v>2</v>
      </c>
      <c r="E448" s="18" t="s">
        <v>21</v>
      </c>
      <c r="F448" s="18" t="s">
        <v>24</v>
      </c>
      <c r="G448" s="18" t="s">
        <v>24</v>
      </c>
      <c r="H448" s="18">
        <v>1842</v>
      </c>
      <c r="I448" s="22" t="s">
        <v>46</v>
      </c>
      <c r="J448" s="18">
        <v>36</v>
      </c>
      <c r="K448" s="18" t="s">
        <v>14</v>
      </c>
      <c r="L448" s="18">
        <v>2</v>
      </c>
      <c r="M448" s="22" t="s">
        <v>45</v>
      </c>
    </row>
    <row r="449" spans="1:13" x14ac:dyDescent="0.35">
      <c r="A449" s="18">
        <v>35</v>
      </c>
      <c r="B449" s="22" t="s">
        <v>39</v>
      </c>
      <c r="C449" s="18" t="s">
        <v>19</v>
      </c>
      <c r="D449" s="18">
        <v>2</v>
      </c>
      <c r="E449" s="18" t="s">
        <v>21</v>
      </c>
      <c r="F449" s="18" t="s">
        <v>24</v>
      </c>
      <c r="G449" s="18" t="s">
        <v>27</v>
      </c>
      <c r="H449" s="18">
        <v>2576</v>
      </c>
      <c r="I449" s="22" t="s">
        <v>43</v>
      </c>
      <c r="J449" s="18">
        <v>7</v>
      </c>
      <c r="K449" s="18" t="s">
        <v>11</v>
      </c>
      <c r="L449" s="18">
        <v>1</v>
      </c>
      <c r="M449" s="22" t="s">
        <v>34</v>
      </c>
    </row>
    <row r="450" spans="1:13" x14ac:dyDescent="0.35">
      <c r="A450" s="18">
        <v>55</v>
      </c>
      <c r="B450" s="22" t="s">
        <v>37</v>
      </c>
      <c r="C450" s="18" t="s">
        <v>20</v>
      </c>
      <c r="D450" s="18">
        <v>3</v>
      </c>
      <c r="E450" s="18" t="s">
        <v>21</v>
      </c>
      <c r="F450" s="18" t="s">
        <v>10</v>
      </c>
      <c r="G450" s="18" t="s">
        <v>26</v>
      </c>
      <c r="H450" s="18">
        <v>1424</v>
      </c>
      <c r="I450" s="22" t="s">
        <v>46</v>
      </c>
      <c r="J450" s="18">
        <v>12</v>
      </c>
      <c r="K450" s="18" t="s">
        <v>13</v>
      </c>
      <c r="L450" s="18">
        <v>1</v>
      </c>
      <c r="M450" s="22" t="s">
        <v>34</v>
      </c>
    </row>
    <row r="451" spans="1:13" x14ac:dyDescent="0.35">
      <c r="A451" s="18">
        <v>61</v>
      </c>
      <c r="B451" s="22" t="s">
        <v>37</v>
      </c>
      <c r="C451" s="18" t="s">
        <v>19</v>
      </c>
      <c r="D451" s="18">
        <v>2</v>
      </c>
      <c r="E451" s="18" t="s">
        <v>21</v>
      </c>
      <c r="F451" s="18" t="s">
        <v>26</v>
      </c>
      <c r="G451" s="18" t="s">
        <v>27</v>
      </c>
      <c r="H451" s="18">
        <v>1512</v>
      </c>
      <c r="I451" s="22" t="s">
        <v>46</v>
      </c>
      <c r="J451" s="18">
        <v>15</v>
      </c>
      <c r="K451" s="18" t="s">
        <v>17</v>
      </c>
      <c r="L451" s="18">
        <v>2</v>
      </c>
      <c r="M451" s="22" t="s">
        <v>45</v>
      </c>
    </row>
    <row r="452" spans="1:13" x14ac:dyDescent="0.35">
      <c r="A452" s="18">
        <v>30</v>
      </c>
      <c r="B452" s="22" t="s">
        <v>39</v>
      </c>
      <c r="C452" s="18" t="s">
        <v>19</v>
      </c>
      <c r="D452" s="18">
        <v>3</v>
      </c>
      <c r="E452" s="18" t="s">
        <v>21</v>
      </c>
      <c r="F452" s="18" t="s">
        <v>10</v>
      </c>
      <c r="G452" s="18" t="s">
        <v>10</v>
      </c>
      <c r="H452" s="18">
        <v>11054</v>
      </c>
      <c r="I452" s="22" t="s">
        <v>42</v>
      </c>
      <c r="J452" s="18">
        <v>36</v>
      </c>
      <c r="K452" s="18" t="s">
        <v>14</v>
      </c>
      <c r="L452" s="18">
        <v>1</v>
      </c>
      <c r="M452" s="22" t="s">
        <v>34</v>
      </c>
    </row>
    <row r="453" spans="1:13" x14ac:dyDescent="0.35">
      <c r="A453" s="18">
        <v>29</v>
      </c>
      <c r="B453" s="22" t="s">
        <v>38</v>
      </c>
      <c r="C453" s="18" t="s">
        <v>20</v>
      </c>
      <c r="D453" s="18">
        <v>2</v>
      </c>
      <c r="E453" s="18" t="s">
        <v>21</v>
      </c>
      <c r="F453" s="18" t="s">
        <v>24</v>
      </c>
      <c r="G453" s="18" t="s">
        <v>10</v>
      </c>
      <c r="H453" s="18">
        <v>518</v>
      </c>
      <c r="I453" s="22" t="s">
        <v>46</v>
      </c>
      <c r="J453" s="18">
        <v>6</v>
      </c>
      <c r="K453" s="18" t="s">
        <v>11</v>
      </c>
      <c r="L453" s="18">
        <v>1</v>
      </c>
      <c r="M453" s="22" t="s">
        <v>34</v>
      </c>
    </row>
    <row r="454" spans="1:13" x14ac:dyDescent="0.35">
      <c r="A454" s="18">
        <v>34</v>
      </c>
      <c r="B454" s="22" t="s">
        <v>39</v>
      </c>
      <c r="C454" s="18" t="s">
        <v>19</v>
      </c>
      <c r="D454" s="18">
        <v>2</v>
      </c>
      <c r="E454" s="18" t="s">
        <v>21</v>
      </c>
      <c r="F454" s="18" t="s">
        <v>24</v>
      </c>
      <c r="G454" s="18" t="s">
        <v>10</v>
      </c>
      <c r="H454" s="18">
        <v>2759</v>
      </c>
      <c r="I454" s="22" t="s">
        <v>43</v>
      </c>
      <c r="J454" s="18">
        <v>12</v>
      </c>
      <c r="K454" s="18" t="s">
        <v>13</v>
      </c>
      <c r="L454" s="18">
        <v>1</v>
      </c>
      <c r="M454" s="22" t="s">
        <v>34</v>
      </c>
    </row>
    <row r="455" spans="1:13" x14ac:dyDescent="0.35">
      <c r="A455" s="18">
        <v>35</v>
      </c>
      <c r="B455" s="22" t="s">
        <v>39</v>
      </c>
      <c r="C455" s="18" t="s">
        <v>19</v>
      </c>
      <c r="D455" s="18">
        <v>3</v>
      </c>
      <c r="E455" s="18" t="s">
        <v>21</v>
      </c>
      <c r="F455" s="18" t="s">
        <v>24</v>
      </c>
      <c r="G455" s="18" t="s">
        <v>10</v>
      </c>
      <c r="H455" s="18">
        <v>2670</v>
      </c>
      <c r="I455" s="22" t="s">
        <v>43</v>
      </c>
      <c r="J455" s="18">
        <v>24</v>
      </c>
      <c r="K455" s="18" t="s">
        <v>14</v>
      </c>
      <c r="L455" s="18">
        <v>1</v>
      </c>
      <c r="M455" s="22" t="s">
        <v>34</v>
      </c>
    </row>
    <row r="456" spans="1:13" x14ac:dyDescent="0.35">
      <c r="A456" s="18">
        <v>31</v>
      </c>
      <c r="B456" s="22" t="s">
        <v>39</v>
      </c>
      <c r="C456" s="18" t="s">
        <v>19</v>
      </c>
      <c r="D456" s="18">
        <v>2</v>
      </c>
      <c r="E456" s="18" t="s">
        <v>21</v>
      </c>
      <c r="F456" s="18" t="s">
        <v>24</v>
      </c>
      <c r="G456" s="18" t="s">
        <v>24</v>
      </c>
      <c r="H456" s="18">
        <v>4817</v>
      </c>
      <c r="I456" s="22" t="s">
        <v>43</v>
      </c>
      <c r="J456" s="18">
        <v>24</v>
      </c>
      <c r="K456" s="18" t="s">
        <v>14</v>
      </c>
      <c r="L456" s="18">
        <v>2</v>
      </c>
      <c r="M456" s="22" t="s">
        <v>45</v>
      </c>
    </row>
    <row r="457" spans="1:13" x14ac:dyDescent="0.35">
      <c r="A457" s="18">
        <v>29</v>
      </c>
      <c r="B457" s="22" t="s">
        <v>38</v>
      </c>
      <c r="C457" s="18" t="s">
        <v>20</v>
      </c>
      <c r="D457" s="18">
        <v>3</v>
      </c>
      <c r="E457" s="18" t="s">
        <v>21</v>
      </c>
      <c r="F457" s="18" t="s">
        <v>24</v>
      </c>
      <c r="G457" s="18" t="s">
        <v>10</v>
      </c>
      <c r="H457" s="18">
        <v>2679</v>
      </c>
      <c r="I457" s="22" t="s">
        <v>43</v>
      </c>
      <c r="J457" s="18">
        <v>24</v>
      </c>
      <c r="K457" s="18" t="s">
        <v>14</v>
      </c>
      <c r="L457" s="18">
        <v>1</v>
      </c>
      <c r="M457" s="22" t="s">
        <v>34</v>
      </c>
    </row>
    <row r="458" spans="1:13" x14ac:dyDescent="0.35">
      <c r="A458" s="18">
        <v>36</v>
      </c>
      <c r="B458" s="22" t="s">
        <v>39</v>
      </c>
      <c r="C458" s="18" t="s">
        <v>19</v>
      </c>
      <c r="D458" s="18">
        <v>2</v>
      </c>
      <c r="E458" s="18" t="s">
        <v>23</v>
      </c>
      <c r="F458" s="18" t="s">
        <v>24</v>
      </c>
      <c r="G458" s="18" t="s">
        <v>24</v>
      </c>
      <c r="H458" s="18">
        <v>3905</v>
      </c>
      <c r="I458" s="22" t="s">
        <v>43</v>
      </c>
      <c r="J458" s="18">
        <v>11</v>
      </c>
      <c r="K458" s="18" t="s">
        <v>14</v>
      </c>
      <c r="L458" s="18">
        <v>1</v>
      </c>
      <c r="M458" s="22" t="s">
        <v>34</v>
      </c>
    </row>
    <row r="459" spans="1:13" x14ac:dyDescent="0.35">
      <c r="A459" s="18">
        <v>35</v>
      </c>
      <c r="B459" s="22" t="s">
        <v>39</v>
      </c>
      <c r="C459" s="18" t="s">
        <v>19</v>
      </c>
      <c r="D459" s="18">
        <v>2</v>
      </c>
      <c r="E459" s="18" t="s">
        <v>22</v>
      </c>
      <c r="F459" s="18" t="s">
        <v>24</v>
      </c>
      <c r="G459" s="18" t="s">
        <v>24</v>
      </c>
      <c r="H459" s="18">
        <v>3386</v>
      </c>
      <c r="I459" s="22" t="s">
        <v>43</v>
      </c>
      <c r="J459" s="18">
        <v>12</v>
      </c>
      <c r="K459" s="18" t="s">
        <v>14</v>
      </c>
      <c r="L459" s="18">
        <v>2</v>
      </c>
      <c r="M459" s="22" t="s">
        <v>45</v>
      </c>
    </row>
    <row r="460" spans="1:13" x14ac:dyDescent="0.35">
      <c r="A460" s="18">
        <v>27</v>
      </c>
      <c r="B460" s="22" t="s">
        <v>38</v>
      </c>
      <c r="C460" s="18" t="s">
        <v>20</v>
      </c>
      <c r="D460" s="18">
        <v>2</v>
      </c>
      <c r="E460" s="18" t="s">
        <v>21</v>
      </c>
      <c r="F460" s="18" t="s">
        <v>24</v>
      </c>
      <c r="G460" s="18" t="s">
        <v>24</v>
      </c>
      <c r="H460" s="18">
        <v>343</v>
      </c>
      <c r="I460" s="22" t="s">
        <v>46</v>
      </c>
      <c r="J460" s="18">
        <v>6</v>
      </c>
      <c r="K460" s="18" t="s">
        <v>16</v>
      </c>
      <c r="L460" s="18">
        <v>1</v>
      </c>
      <c r="M460" s="22" t="s">
        <v>34</v>
      </c>
    </row>
    <row r="461" spans="1:13" x14ac:dyDescent="0.35">
      <c r="A461" s="18">
        <v>32</v>
      </c>
      <c r="B461" s="22" t="s">
        <v>39</v>
      </c>
      <c r="C461" s="18" t="s">
        <v>19</v>
      </c>
      <c r="D461" s="18">
        <v>2</v>
      </c>
      <c r="E461" s="18" t="s">
        <v>21</v>
      </c>
      <c r="F461" s="18" t="s">
        <v>24</v>
      </c>
      <c r="G461" s="18" t="s">
        <v>10</v>
      </c>
      <c r="H461" s="18">
        <v>4594</v>
      </c>
      <c r="I461" s="22" t="s">
        <v>43</v>
      </c>
      <c r="J461" s="18">
        <v>18</v>
      </c>
      <c r="K461" s="18" t="s">
        <v>11</v>
      </c>
      <c r="L461" s="18">
        <v>1</v>
      </c>
      <c r="M461" s="22" t="s">
        <v>34</v>
      </c>
    </row>
    <row r="462" spans="1:13" x14ac:dyDescent="0.35">
      <c r="A462" s="18">
        <v>37</v>
      </c>
      <c r="B462" s="22" t="s">
        <v>39</v>
      </c>
      <c r="C462" s="18" t="s">
        <v>19</v>
      </c>
      <c r="D462" s="18">
        <v>2</v>
      </c>
      <c r="E462" s="18" t="s">
        <v>21</v>
      </c>
      <c r="F462" s="18" t="s">
        <v>24</v>
      </c>
      <c r="G462" s="18" t="s">
        <v>24</v>
      </c>
      <c r="H462" s="18">
        <v>3620</v>
      </c>
      <c r="I462" s="22" t="s">
        <v>43</v>
      </c>
      <c r="J462" s="18">
        <v>36</v>
      </c>
      <c r="K462" s="18" t="s">
        <v>13</v>
      </c>
      <c r="L462" s="18">
        <v>1</v>
      </c>
      <c r="M462" s="22" t="s">
        <v>34</v>
      </c>
    </row>
    <row r="463" spans="1:13" x14ac:dyDescent="0.35">
      <c r="A463" s="18">
        <v>36</v>
      </c>
      <c r="B463" s="22" t="s">
        <v>39</v>
      </c>
      <c r="C463" s="18" t="s">
        <v>19</v>
      </c>
      <c r="D463" s="18">
        <v>2</v>
      </c>
      <c r="E463" s="18" t="s">
        <v>21</v>
      </c>
      <c r="F463" s="18" t="s">
        <v>24</v>
      </c>
      <c r="G463" s="18" t="s">
        <v>24</v>
      </c>
      <c r="H463" s="18">
        <v>1721</v>
      </c>
      <c r="I463" s="22" t="s">
        <v>46</v>
      </c>
      <c r="J463" s="18">
        <v>15</v>
      </c>
      <c r="K463" s="18" t="s">
        <v>14</v>
      </c>
      <c r="L463" s="18">
        <v>1</v>
      </c>
      <c r="M463" s="22" t="s">
        <v>34</v>
      </c>
    </row>
    <row r="464" spans="1:13" x14ac:dyDescent="0.35">
      <c r="A464" s="18">
        <v>34</v>
      </c>
      <c r="B464" s="22" t="s">
        <v>39</v>
      </c>
      <c r="C464" s="18" t="s">
        <v>20</v>
      </c>
      <c r="D464" s="18">
        <v>3</v>
      </c>
      <c r="E464" s="18" t="s">
        <v>23</v>
      </c>
      <c r="F464" s="18" t="s">
        <v>24</v>
      </c>
      <c r="G464" s="18" t="s">
        <v>27</v>
      </c>
      <c r="H464" s="18">
        <v>3017</v>
      </c>
      <c r="I464" s="22" t="s">
        <v>43</v>
      </c>
      <c r="J464" s="18">
        <v>12</v>
      </c>
      <c r="K464" s="18" t="s">
        <v>13</v>
      </c>
      <c r="L464" s="18">
        <v>1</v>
      </c>
      <c r="M464" s="22" t="s">
        <v>34</v>
      </c>
    </row>
    <row r="465" spans="1:13" x14ac:dyDescent="0.35">
      <c r="A465" s="18">
        <v>38</v>
      </c>
      <c r="B465" s="22" t="s">
        <v>39</v>
      </c>
      <c r="C465" s="18" t="s">
        <v>19</v>
      </c>
      <c r="D465" s="18">
        <v>2</v>
      </c>
      <c r="E465" s="18" t="s">
        <v>21</v>
      </c>
      <c r="F465" s="18" t="s">
        <v>10</v>
      </c>
      <c r="G465" s="18" t="s">
        <v>27</v>
      </c>
      <c r="H465" s="18">
        <v>754</v>
      </c>
      <c r="I465" s="22" t="s">
        <v>46</v>
      </c>
      <c r="J465" s="18">
        <v>12</v>
      </c>
      <c r="K465" s="18" t="s">
        <v>12</v>
      </c>
      <c r="L465" s="18">
        <v>1</v>
      </c>
      <c r="M465" s="22" t="s">
        <v>34</v>
      </c>
    </row>
    <row r="466" spans="1:13" x14ac:dyDescent="0.35">
      <c r="A466" s="18">
        <v>34</v>
      </c>
      <c r="B466" s="22" t="s">
        <v>39</v>
      </c>
      <c r="C466" s="18" t="s">
        <v>19</v>
      </c>
      <c r="D466" s="18">
        <v>2</v>
      </c>
      <c r="E466" s="18" t="s">
        <v>21</v>
      </c>
      <c r="F466" s="18" t="s">
        <v>24</v>
      </c>
      <c r="G466" s="18" t="s">
        <v>10</v>
      </c>
      <c r="H466" s="18">
        <v>1950</v>
      </c>
      <c r="I466" s="22" t="s">
        <v>46</v>
      </c>
      <c r="J466" s="18">
        <v>18</v>
      </c>
      <c r="K466" s="18" t="s">
        <v>15</v>
      </c>
      <c r="L466" s="18">
        <v>1</v>
      </c>
      <c r="M466" s="22" t="s">
        <v>34</v>
      </c>
    </row>
    <row r="467" spans="1:13" x14ac:dyDescent="0.35">
      <c r="A467" s="18">
        <v>63</v>
      </c>
      <c r="B467" s="22" t="s">
        <v>37</v>
      </c>
      <c r="C467" s="18" t="s">
        <v>19</v>
      </c>
      <c r="D467" s="18">
        <v>2</v>
      </c>
      <c r="E467" s="18" t="s">
        <v>21</v>
      </c>
      <c r="F467" s="18" t="s">
        <v>24</v>
      </c>
      <c r="G467" s="18" t="s">
        <v>24</v>
      </c>
      <c r="H467" s="18">
        <v>2924</v>
      </c>
      <c r="I467" s="22" t="s">
        <v>43</v>
      </c>
      <c r="J467" s="18">
        <v>24</v>
      </c>
      <c r="K467" s="18" t="s">
        <v>14</v>
      </c>
      <c r="L467" s="18">
        <v>1</v>
      </c>
      <c r="M467" s="22" t="s">
        <v>34</v>
      </c>
    </row>
    <row r="468" spans="1:13" x14ac:dyDescent="0.35">
      <c r="A468" s="18">
        <v>29</v>
      </c>
      <c r="B468" s="22" t="s">
        <v>38</v>
      </c>
      <c r="C468" s="18" t="s">
        <v>20</v>
      </c>
      <c r="D468" s="18">
        <v>1</v>
      </c>
      <c r="E468" s="18" t="s">
        <v>23</v>
      </c>
      <c r="F468" s="18" t="s">
        <v>24</v>
      </c>
      <c r="G468" s="18" t="s">
        <v>24</v>
      </c>
      <c r="H468" s="18">
        <v>1659</v>
      </c>
      <c r="I468" s="22" t="s">
        <v>46</v>
      </c>
      <c r="J468" s="18">
        <v>24</v>
      </c>
      <c r="K468" s="18" t="s">
        <v>11</v>
      </c>
      <c r="L468" s="18">
        <v>2</v>
      </c>
      <c r="M468" s="22" t="s">
        <v>45</v>
      </c>
    </row>
    <row r="469" spans="1:13" x14ac:dyDescent="0.35">
      <c r="A469" s="18">
        <v>32</v>
      </c>
      <c r="B469" s="22" t="s">
        <v>39</v>
      </c>
      <c r="C469" s="18" t="s">
        <v>19</v>
      </c>
      <c r="D469" s="18">
        <v>2</v>
      </c>
      <c r="E469" s="18" t="s">
        <v>21</v>
      </c>
      <c r="F469" s="18" t="s">
        <v>10</v>
      </c>
      <c r="G469" s="18" t="s">
        <v>10</v>
      </c>
      <c r="H469" s="18">
        <v>7238</v>
      </c>
      <c r="I469" s="22" t="s">
        <v>42</v>
      </c>
      <c r="J469" s="18">
        <v>48</v>
      </c>
      <c r="K469" s="18" t="s">
        <v>11</v>
      </c>
      <c r="L469" s="18">
        <v>1</v>
      </c>
      <c r="M469" s="22" t="s">
        <v>34</v>
      </c>
    </row>
    <row r="470" spans="1:13" x14ac:dyDescent="0.35">
      <c r="A470" s="18">
        <v>26</v>
      </c>
      <c r="B470" s="22" t="s">
        <v>38</v>
      </c>
      <c r="C470" s="18" t="s">
        <v>20</v>
      </c>
      <c r="D470" s="18">
        <v>2</v>
      </c>
      <c r="E470" s="18" t="s">
        <v>21</v>
      </c>
      <c r="F470" s="18" t="s">
        <v>24</v>
      </c>
      <c r="G470" s="18" t="s">
        <v>10</v>
      </c>
      <c r="H470" s="18">
        <v>2764</v>
      </c>
      <c r="I470" s="22" t="s">
        <v>43</v>
      </c>
      <c r="J470" s="18">
        <v>33</v>
      </c>
      <c r="K470" s="18" t="s">
        <v>15</v>
      </c>
      <c r="L470" s="18">
        <v>1</v>
      </c>
      <c r="M470" s="22" t="s">
        <v>34</v>
      </c>
    </row>
    <row r="471" spans="1:13" x14ac:dyDescent="0.35">
      <c r="A471" s="18">
        <v>35</v>
      </c>
      <c r="B471" s="22" t="s">
        <v>39</v>
      </c>
      <c r="C471" s="18" t="s">
        <v>19</v>
      </c>
      <c r="D471" s="18">
        <v>1</v>
      </c>
      <c r="E471" s="18" t="s">
        <v>21</v>
      </c>
      <c r="F471" s="18" t="s">
        <v>24</v>
      </c>
      <c r="G471" s="18" t="s">
        <v>10</v>
      </c>
      <c r="H471" s="18">
        <v>4679</v>
      </c>
      <c r="I471" s="22" t="s">
        <v>43</v>
      </c>
      <c r="J471" s="18">
        <v>24</v>
      </c>
      <c r="K471" s="18" t="s">
        <v>14</v>
      </c>
      <c r="L471" s="18">
        <v>1</v>
      </c>
      <c r="M471" s="22" t="s">
        <v>34</v>
      </c>
    </row>
    <row r="472" spans="1:13" x14ac:dyDescent="0.35">
      <c r="A472" s="18">
        <v>22</v>
      </c>
      <c r="B472" s="22" t="s">
        <v>38</v>
      </c>
      <c r="C472" s="18" t="s">
        <v>19</v>
      </c>
      <c r="D472" s="18">
        <v>2</v>
      </c>
      <c r="E472" s="18" t="s">
        <v>23</v>
      </c>
      <c r="F472" s="18" t="s">
        <v>27</v>
      </c>
      <c r="G472" s="18" t="s">
        <v>27</v>
      </c>
      <c r="H472" s="18">
        <v>3092</v>
      </c>
      <c r="I472" s="22" t="s">
        <v>43</v>
      </c>
      <c r="J472" s="18">
        <v>24</v>
      </c>
      <c r="K472" s="18" t="s">
        <v>11</v>
      </c>
      <c r="L472" s="18">
        <v>2</v>
      </c>
      <c r="M472" s="22" t="s">
        <v>45</v>
      </c>
    </row>
    <row r="473" spans="1:13" x14ac:dyDescent="0.35">
      <c r="A473" s="18">
        <v>23</v>
      </c>
      <c r="B473" s="22" t="s">
        <v>38</v>
      </c>
      <c r="C473" s="18" t="s">
        <v>20</v>
      </c>
      <c r="D473" s="18">
        <v>2</v>
      </c>
      <c r="E473" s="18" t="s">
        <v>21</v>
      </c>
      <c r="F473" s="18" t="s">
        <v>24</v>
      </c>
      <c r="G473" s="18" t="s">
        <v>24</v>
      </c>
      <c r="H473" s="18">
        <v>448</v>
      </c>
      <c r="I473" s="22" t="s">
        <v>46</v>
      </c>
      <c r="J473" s="18">
        <v>6</v>
      </c>
      <c r="K473" s="18" t="s">
        <v>12</v>
      </c>
      <c r="L473" s="18">
        <v>2</v>
      </c>
      <c r="M473" s="22" t="s">
        <v>45</v>
      </c>
    </row>
    <row r="474" spans="1:13" x14ac:dyDescent="0.35">
      <c r="A474" s="18">
        <v>28</v>
      </c>
      <c r="B474" s="22" t="s">
        <v>38</v>
      </c>
      <c r="C474" s="18" t="s">
        <v>19</v>
      </c>
      <c r="D474" s="18">
        <v>1</v>
      </c>
      <c r="E474" s="18" t="s">
        <v>21</v>
      </c>
      <c r="F474" s="18" t="s">
        <v>24</v>
      </c>
      <c r="G474" s="18" t="s">
        <v>24</v>
      </c>
      <c r="H474" s="18">
        <v>654</v>
      </c>
      <c r="I474" s="22" t="s">
        <v>46</v>
      </c>
      <c r="J474" s="18">
        <v>9</v>
      </c>
      <c r="K474" s="18" t="s">
        <v>14</v>
      </c>
      <c r="L474" s="18">
        <v>2</v>
      </c>
      <c r="M474" s="22" t="s">
        <v>45</v>
      </c>
    </row>
    <row r="475" spans="1:13" x14ac:dyDescent="0.35">
      <c r="A475" s="18">
        <v>36</v>
      </c>
      <c r="B475" s="22" t="s">
        <v>39</v>
      </c>
      <c r="C475" s="18" t="s">
        <v>19</v>
      </c>
      <c r="D475" s="18">
        <v>3</v>
      </c>
      <c r="E475" s="18" t="s">
        <v>21</v>
      </c>
      <c r="F475" s="18" t="s">
        <v>10</v>
      </c>
      <c r="G475" s="18" t="s">
        <v>10</v>
      </c>
      <c r="H475" s="18">
        <v>1238</v>
      </c>
      <c r="I475" s="22" t="s">
        <v>46</v>
      </c>
      <c r="J475" s="18">
        <v>6</v>
      </c>
      <c r="K475" s="18" t="s">
        <v>12</v>
      </c>
      <c r="L475" s="18">
        <v>1</v>
      </c>
      <c r="M475" s="22" t="s">
        <v>34</v>
      </c>
    </row>
    <row r="476" spans="1:13" x14ac:dyDescent="0.35">
      <c r="A476" s="18">
        <v>33</v>
      </c>
      <c r="B476" s="22" t="s">
        <v>39</v>
      </c>
      <c r="C476" s="18" t="s">
        <v>19</v>
      </c>
      <c r="D476" s="18">
        <v>2</v>
      </c>
      <c r="E476" s="18" t="s">
        <v>21</v>
      </c>
      <c r="F476" s="18" t="s">
        <v>24</v>
      </c>
      <c r="G476" s="18" t="s">
        <v>27</v>
      </c>
      <c r="H476" s="18">
        <v>1245</v>
      </c>
      <c r="I476" s="22" t="s">
        <v>46</v>
      </c>
      <c r="J476" s="18">
        <v>18</v>
      </c>
      <c r="K476" s="18" t="s">
        <v>11</v>
      </c>
      <c r="L476" s="18">
        <v>2</v>
      </c>
      <c r="M476" s="22" t="s">
        <v>45</v>
      </c>
    </row>
    <row r="477" spans="1:13" x14ac:dyDescent="0.35">
      <c r="A477" s="18">
        <v>26</v>
      </c>
      <c r="B477" s="22" t="s">
        <v>38</v>
      </c>
      <c r="C477" s="18" t="s">
        <v>20</v>
      </c>
      <c r="D477" s="18">
        <v>2</v>
      </c>
      <c r="E477" s="18" t="s">
        <v>23</v>
      </c>
      <c r="F477" s="18" t="s">
        <v>24</v>
      </c>
      <c r="G477" s="18" t="s">
        <v>24</v>
      </c>
      <c r="H477" s="18">
        <v>3114</v>
      </c>
      <c r="I477" s="22" t="s">
        <v>43</v>
      </c>
      <c r="J477" s="18">
        <v>18</v>
      </c>
      <c r="K477" s="18" t="s">
        <v>13</v>
      </c>
      <c r="L477" s="18">
        <v>2</v>
      </c>
      <c r="M477" s="22" t="s">
        <v>45</v>
      </c>
    </row>
    <row r="478" spans="1:13" x14ac:dyDescent="0.35">
      <c r="A478" s="18">
        <v>24</v>
      </c>
      <c r="B478" s="22" t="s">
        <v>38</v>
      </c>
      <c r="C478" s="18" t="s">
        <v>19</v>
      </c>
      <c r="D478" s="18">
        <v>2</v>
      </c>
      <c r="E478" s="18" t="s">
        <v>21</v>
      </c>
      <c r="F478" s="18" t="s">
        <v>25</v>
      </c>
      <c r="G478" s="18" t="s">
        <v>10</v>
      </c>
      <c r="H478" s="18">
        <v>2569</v>
      </c>
      <c r="I478" s="22" t="s">
        <v>43</v>
      </c>
      <c r="J478" s="18">
        <v>39</v>
      </c>
      <c r="K478" s="18" t="s">
        <v>14</v>
      </c>
      <c r="L478" s="18">
        <v>1</v>
      </c>
      <c r="M478" s="22" t="s">
        <v>34</v>
      </c>
    </row>
    <row r="479" spans="1:13" x14ac:dyDescent="0.35">
      <c r="A479" s="18">
        <v>25</v>
      </c>
      <c r="B479" s="22" t="s">
        <v>38</v>
      </c>
      <c r="C479" s="18" t="s">
        <v>19</v>
      </c>
      <c r="D479" s="18">
        <v>2</v>
      </c>
      <c r="E479" s="18" t="s">
        <v>21</v>
      </c>
      <c r="F479" s="18" t="s">
        <v>24</v>
      </c>
      <c r="G479" s="18" t="s">
        <v>26</v>
      </c>
      <c r="H479" s="18">
        <v>5152</v>
      </c>
      <c r="I479" s="22" t="s">
        <v>42</v>
      </c>
      <c r="J479" s="18">
        <v>24</v>
      </c>
      <c r="K479" s="18" t="s">
        <v>11</v>
      </c>
      <c r="L479" s="18">
        <v>1</v>
      </c>
      <c r="M479" s="22" t="s">
        <v>34</v>
      </c>
    </row>
    <row r="480" spans="1:13" x14ac:dyDescent="0.35">
      <c r="A480" s="18">
        <v>39</v>
      </c>
      <c r="B480" s="22" t="s">
        <v>39</v>
      </c>
      <c r="C480" s="18" t="s">
        <v>19</v>
      </c>
      <c r="D480" s="18">
        <v>1</v>
      </c>
      <c r="E480" s="18" t="s">
        <v>21</v>
      </c>
      <c r="F480" s="18" t="s">
        <v>27</v>
      </c>
      <c r="G480" s="18" t="s">
        <v>27</v>
      </c>
      <c r="H480" s="18">
        <v>1037</v>
      </c>
      <c r="I480" s="22" t="s">
        <v>46</v>
      </c>
      <c r="J480" s="18">
        <v>12</v>
      </c>
      <c r="K480" s="18" t="s">
        <v>15</v>
      </c>
      <c r="L480" s="18">
        <v>1</v>
      </c>
      <c r="M480" s="22" t="s">
        <v>34</v>
      </c>
    </row>
    <row r="481" spans="1:13" x14ac:dyDescent="0.35">
      <c r="A481" s="18">
        <v>44</v>
      </c>
      <c r="B481" s="22" t="s">
        <v>39</v>
      </c>
      <c r="C481" s="18" t="s">
        <v>19</v>
      </c>
      <c r="D481" s="18">
        <v>2</v>
      </c>
      <c r="E481" s="18" t="s">
        <v>21</v>
      </c>
      <c r="F481" s="18" t="s">
        <v>24</v>
      </c>
      <c r="G481" s="18" t="s">
        <v>24</v>
      </c>
      <c r="H481" s="18">
        <v>1478</v>
      </c>
      <c r="I481" s="22" t="s">
        <v>46</v>
      </c>
      <c r="J481" s="18">
        <v>15</v>
      </c>
      <c r="K481" s="18" t="s">
        <v>13</v>
      </c>
      <c r="L481" s="18">
        <v>1</v>
      </c>
      <c r="M481" s="22" t="s">
        <v>34</v>
      </c>
    </row>
    <row r="482" spans="1:13" x14ac:dyDescent="0.35">
      <c r="A482" s="18">
        <v>23</v>
      </c>
      <c r="B482" s="22" t="s">
        <v>38</v>
      </c>
      <c r="C482" s="18" t="s">
        <v>20</v>
      </c>
      <c r="D482" s="18">
        <v>1</v>
      </c>
      <c r="E482" s="18" t="s">
        <v>21</v>
      </c>
      <c r="F482" s="18" t="s">
        <v>24</v>
      </c>
      <c r="G482" s="18" t="s">
        <v>27</v>
      </c>
      <c r="H482" s="18">
        <v>3573</v>
      </c>
      <c r="I482" s="22" t="s">
        <v>43</v>
      </c>
      <c r="J482" s="18">
        <v>12</v>
      </c>
      <c r="K482" s="18" t="s">
        <v>11</v>
      </c>
      <c r="L482" s="18">
        <v>1</v>
      </c>
      <c r="M482" s="22" t="s">
        <v>34</v>
      </c>
    </row>
    <row r="483" spans="1:13" x14ac:dyDescent="0.35">
      <c r="A483" s="18">
        <v>26</v>
      </c>
      <c r="B483" s="22" t="s">
        <v>38</v>
      </c>
      <c r="C483" s="18" t="s">
        <v>19</v>
      </c>
      <c r="D483" s="18">
        <v>2</v>
      </c>
      <c r="E483" s="18" t="s">
        <v>21</v>
      </c>
      <c r="F483" s="18" t="s">
        <v>24</v>
      </c>
      <c r="G483" s="18" t="s">
        <v>27</v>
      </c>
      <c r="H483" s="18">
        <v>1201</v>
      </c>
      <c r="I483" s="22" t="s">
        <v>46</v>
      </c>
      <c r="J483" s="18">
        <v>24</v>
      </c>
      <c r="K483" s="18" t="s">
        <v>14</v>
      </c>
      <c r="L483" s="18">
        <v>1</v>
      </c>
      <c r="M483" s="22" t="s">
        <v>34</v>
      </c>
    </row>
    <row r="484" spans="1:13" x14ac:dyDescent="0.35">
      <c r="A484" s="18">
        <v>57</v>
      </c>
      <c r="B484" s="22" t="s">
        <v>37</v>
      </c>
      <c r="C484" s="18" t="s">
        <v>20</v>
      </c>
      <c r="D484" s="18">
        <v>2</v>
      </c>
      <c r="E484" s="18" t="s">
        <v>23</v>
      </c>
      <c r="F484" s="18" t="s">
        <v>26</v>
      </c>
      <c r="G484" s="18" t="s">
        <v>24</v>
      </c>
      <c r="H484" s="18">
        <v>3622</v>
      </c>
      <c r="I484" s="22" t="s">
        <v>43</v>
      </c>
      <c r="J484" s="18">
        <v>30</v>
      </c>
      <c r="K484" s="18" t="s">
        <v>13</v>
      </c>
      <c r="L484" s="18">
        <v>1</v>
      </c>
      <c r="M484" s="22" t="s">
        <v>34</v>
      </c>
    </row>
    <row r="485" spans="1:13" x14ac:dyDescent="0.35">
      <c r="A485" s="18">
        <v>30</v>
      </c>
      <c r="B485" s="22" t="s">
        <v>39</v>
      </c>
      <c r="C485" s="18" t="s">
        <v>20</v>
      </c>
      <c r="D485" s="18">
        <v>2</v>
      </c>
      <c r="E485" s="18" t="s">
        <v>21</v>
      </c>
      <c r="F485" s="18" t="s">
        <v>26</v>
      </c>
      <c r="G485" s="18" t="s">
        <v>10</v>
      </c>
      <c r="H485" s="18">
        <v>960</v>
      </c>
      <c r="I485" s="22" t="s">
        <v>46</v>
      </c>
      <c r="J485" s="18">
        <v>15</v>
      </c>
      <c r="K485" s="18" t="s">
        <v>13</v>
      </c>
      <c r="L485" s="18">
        <v>1</v>
      </c>
      <c r="M485" s="22" t="s">
        <v>34</v>
      </c>
    </row>
    <row r="486" spans="1:13" x14ac:dyDescent="0.35">
      <c r="A486" s="18">
        <v>44</v>
      </c>
      <c r="B486" s="22" t="s">
        <v>39</v>
      </c>
      <c r="C486" s="18" t="s">
        <v>19</v>
      </c>
      <c r="D486" s="18">
        <v>2</v>
      </c>
      <c r="E486" s="18" t="s">
        <v>21</v>
      </c>
      <c r="F486" s="18" t="s">
        <v>25</v>
      </c>
      <c r="G486" s="18" t="s">
        <v>10</v>
      </c>
      <c r="H486" s="18">
        <v>1163</v>
      </c>
      <c r="I486" s="22" t="s">
        <v>46</v>
      </c>
      <c r="J486" s="18">
        <v>12</v>
      </c>
      <c r="K486" s="18" t="s">
        <v>14</v>
      </c>
      <c r="L486" s="18">
        <v>1</v>
      </c>
      <c r="M486" s="22" t="s">
        <v>34</v>
      </c>
    </row>
    <row r="487" spans="1:13" x14ac:dyDescent="0.35">
      <c r="A487" s="18">
        <v>47</v>
      </c>
      <c r="B487" s="22" t="s">
        <v>39</v>
      </c>
      <c r="C487" s="18" t="s">
        <v>19</v>
      </c>
      <c r="D487" s="18">
        <v>3</v>
      </c>
      <c r="E487" s="18" t="s">
        <v>21</v>
      </c>
      <c r="F487" s="18" t="s">
        <v>24</v>
      </c>
      <c r="G487" s="18" t="s">
        <v>27</v>
      </c>
      <c r="H487" s="18">
        <v>1209</v>
      </c>
      <c r="I487" s="22" t="s">
        <v>46</v>
      </c>
      <c r="J487" s="18">
        <v>6</v>
      </c>
      <c r="K487" s="18" t="s">
        <v>14</v>
      </c>
      <c r="L487" s="18">
        <v>2</v>
      </c>
      <c r="M487" s="22" t="s">
        <v>45</v>
      </c>
    </row>
    <row r="488" spans="1:13" x14ac:dyDescent="0.35">
      <c r="A488" s="18">
        <v>52</v>
      </c>
      <c r="B488" s="22" t="s">
        <v>37</v>
      </c>
      <c r="C488" s="18" t="s">
        <v>19</v>
      </c>
      <c r="D488" s="18">
        <v>2</v>
      </c>
      <c r="E488" s="18" t="s">
        <v>21</v>
      </c>
      <c r="F488" s="18" t="s">
        <v>24</v>
      </c>
      <c r="G488" s="18" t="s">
        <v>10</v>
      </c>
      <c r="H488" s="18">
        <v>3077</v>
      </c>
      <c r="I488" s="22" t="s">
        <v>43</v>
      </c>
      <c r="J488" s="18">
        <v>12</v>
      </c>
      <c r="K488" s="18" t="s">
        <v>11</v>
      </c>
      <c r="L488" s="18">
        <v>1</v>
      </c>
      <c r="M488" s="22" t="s">
        <v>34</v>
      </c>
    </row>
    <row r="489" spans="1:13" x14ac:dyDescent="0.35">
      <c r="A489" s="18">
        <v>62</v>
      </c>
      <c r="B489" s="22" t="s">
        <v>37</v>
      </c>
      <c r="C489" s="18" t="s">
        <v>20</v>
      </c>
      <c r="D489" s="18">
        <v>2</v>
      </c>
      <c r="E489" s="18" t="s">
        <v>22</v>
      </c>
      <c r="F489" s="18" t="s">
        <v>24</v>
      </c>
      <c r="G489" s="18" t="s">
        <v>10</v>
      </c>
      <c r="H489" s="18">
        <v>3757</v>
      </c>
      <c r="I489" s="22" t="s">
        <v>43</v>
      </c>
      <c r="J489" s="18">
        <v>24</v>
      </c>
      <c r="K489" s="18" t="s">
        <v>14</v>
      </c>
      <c r="L489" s="18">
        <v>1</v>
      </c>
      <c r="M489" s="22" t="s">
        <v>34</v>
      </c>
    </row>
    <row r="490" spans="1:13" x14ac:dyDescent="0.35">
      <c r="A490" s="18">
        <v>35</v>
      </c>
      <c r="B490" s="22" t="s">
        <v>39</v>
      </c>
      <c r="C490" s="18" t="s">
        <v>19</v>
      </c>
      <c r="D490" s="18">
        <v>1</v>
      </c>
      <c r="E490" s="18" t="s">
        <v>23</v>
      </c>
      <c r="F490" s="18" t="s">
        <v>27</v>
      </c>
      <c r="G490" s="18" t="s">
        <v>10</v>
      </c>
      <c r="H490" s="18">
        <v>1418</v>
      </c>
      <c r="I490" s="22" t="s">
        <v>46</v>
      </c>
      <c r="J490" s="18">
        <v>10</v>
      </c>
      <c r="K490" s="18" t="s">
        <v>14</v>
      </c>
      <c r="L490" s="18">
        <v>1</v>
      </c>
      <c r="M490" s="22" t="s">
        <v>34</v>
      </c>
    </row>
    <row r="491" spans="1:13" x14ac:dyDescent="0.35">
      <c r="A491" s="18">
        <v>26</v>
      </c>
      <c r="B491" s="22" t="s">
        <v>38</v>
      </c>
      <c r="C491" s="18" t="s">
        <v>19</v>
      </c>
      <c r="D491" s="18">
        <v>2</v>
      </c>
      <c r="E491" s="18" t="s">
        <v>23</v>
      </c>
      <c r="F491" s="18" t="s">
        <v>24</v>
      </c>
      <c r="G491" s="18" t="s">
        <v>10</v>
      </c>
      <c r="H491" s="18">
        <v>3518</v>
      </c>
      <c r="I491" s="22" t="s">
        <v>43</v>
      </c>
      <c r="J491" s="18">
        <v>6</v>
      </c>
      <c r="K491" s="18" t="s">
        <v>14</v>
      </c>
      <c r="L491" s="18">
        <v>1</v>
      </c>
      <c r="M491" s="22" t="s">
        <v>34</v>
      </c>
    </row>
    <row r="492" spans="1:13" x14ac:dyDescent="0.35">
      <c r="A492" s="18">
        <v>26</v>
      </c>
      <c r="B492" s="22" t="s">
        <v>38</v>
      </c>
      <c r="C492" s="18" t="s">
        <v>19</v>
      </c>
      <c r="D492" s="18">
        <v>2</v>
      </c>
      <c r="E492" s="18" t="s">
        <v>21</v>
      </c>
      <c r="F492" s="18" t="s">
        <v>24</v>
      </c>
      <c r="G492" s="18" t="s">
        <v>10</v>
      </c>
      <c r="H492" s="18">
        <v>1934</v>
      </c>
      <c r="I492" s="22" t="s">
        <v>46</v>
      </c>
      <c r="J492" s="18">
        <v>12</v>
      </c>
      <c r="K492" s="18" t="s">
        <v>11</v>
      </c>
      <c r="L492" s="18">
        <v>1</v>
      </c>
      <c r="M492" s="22" t="s">
        <v>34</v>
      </c>
    </row>
    <row r="493" spans="1:13" x14ac:dyDescent="0.35">
      <c r="A493" s="18">
        <v>42</v>
      </c>
      <c r="B493" s="22" t="s">
        <v>39</v>
      </c>
      <c r="C493" s="18" t="s">
        <v>20</v>
      </c>
      <c r="D493" s="18">
        <v>3</v>
      </c>
      <c r="E493" s="18" t="s">
        <v>22</v>
      </c>
      <c r="F493" s="18" t="s">
        <v>24</v>
      </c>
      <c r="G493" s="18" t="s">
        <v>27</v>
      </c>
      <c r="H493" s="18">
        <v>8318</v>
      </c>
      <c r="I493" s="22" t="s">
        <v>42</v>
      </c>
      <c r="J493" s="18">
        <v>27</v>
      </c>
      <c r="K493" s="18" t="s">
        <v>15</v>
      </c>
      <c r="L493" s="18">
        <v>2</v>
      </c>
      <c r="M493" s="22" t="s">
        <v>45</v>
      </c>
    </row>
    <row r="494" spans="1:13" x14ac:dyDescent="0.35">
      <c r="A494" s="18">
        <v>27</v>
      </c>
      <c r="B494" s="22" t="s">
        <v>38</v>
      </c>
      <c r="C494" s="18" t="s">
        <v>20</v>
      </c>
      <c r="D494" s="18">
        <v>2</v>
      </c>
      <c r="E494" s="18" t="s">
        <v>21</v>
      </c>
      <c r="F494" s="18" t="s">
        <v>27</v>
      </c>
      <c r="G494" s="18" t="s">
        <v>10</v>
      </c>
      <c r="H494" s="18">
        <v>1237</v>
      </c>
      <c r="I494" s="22" t="s">
        <v>46</v>
      </c>
      <c r="J494" s="18">
        <v>6</v>
      </c>
      <c r="K494" s="18" t="s">
        <v>11</v>
      </c>
      <c r="L494" s="18">
        <v>1</v>
      </c>
      <c r="M494" s="22" t="s">
        <v>34</v>
      </c>
    </row>
    <row r="495" spans="1:13" x14ac:dyDescent="0.35">
      <c r="A495" s="18">
        <v>38</v>
      </c>
      <c r="B495" s="22" t="s">
        <v>39</v>
      </c>
      <c r="C495" s="18" t="s">
        <v>19</v>
      </c>
      <c r="D495" s="18">
        <v>2</v>
      </c>
      <c r="E495" s="18" t="s">
        <v>21</v>
      </c>
      <c r="F495" s="18" t="s">
        <v>10</v>
      </c>
      <c r="G495" s="18" t="s">
        <v>27</v>
      </c>
      <c r="H495" s="18">
        <v>368</v>
      </c>
      <c r="I495" s="22" t="s">
        <v>46</v>
      </c>
      <c r="J495" s="18">
        <v>6</v>
      </c>
      <c r="K495" s="18" t="s">
        <v>11</v>
      </c>
      <c r="L495" s="18">
        <v>1</v>
      </c>
      <c r="M495" s="22" t="s">
        <v>34</v>
      </c>
    </row>
    <row r="496" spans="1:13" x14ac:dyDescent="0.35">
      <c r="A496" s="18">
        <v>39</v>
      </c>
      <c r="B496" s="22" t="s">
        <v>39</v>
      </c>
      <c r="C496" s="18" t="s">
        <v>19</v>
      </c>
      <c r="D496" s="18">
        <v>1</v>
      </c>
      <c r="E496" s="18" t="s">
        <v>23</v>
      </c>
      <c r="F496" s="18" t="s">
        <v>24</v>
      </c>
      <c r="G496" s="18" t="s">
        <v>24</v>
      </c>
      <c r="H496" s="18">
        <v>2122</v>
      </c>
      <c r="I496" s="22" t="s">
        <v>43</v>
      </c>
      <c r="J496" s="18">
        <v>12</v>
      </c>
      <c r="K496" s="18" t="s">
        <v>14</v>
      </c>
      <c r="L496" s="18">
        <v>1</v>
      </c>
      <c r="M496" s="22" t="s">
        <v>34</v>
      </c>
    </row>
    <row r="497" spans="1:13" x14ac:dyDescent="0.35">
      <c r="A497" s="18">
        <v>20</v>
      </c>
      <c r="B497" s="22" t="s">
        <v>38</v>
      </c>
      <c r="C497" s="18" t="s">
        <v>19</v>
      </c>
      <c r="D497" s="18">
        <v>2</v>
      </c>
      <c r="E497" s="18" t="s">
        <v>21</v>
      </c>
      <c r="F497" s="18" t="s">
        <v>10</v>
      </c>
      <c r="G497" s="18" t="s">
        <v>24</v>
      </c>
      <c r="H497" s="18">
        <v>2996</v>
      </c>
      <c r="I497" s="22" t="s">
        <v>43</v>
      </c>
      <c r="J497" s="18">
        <v>24</v>
      </c>
      <c r="K497" s="18" t="s">
        <v>13</v>
      </c>
      <c r="L497" s="18">
        <v>2</v>
      </c>
      <c r="M497" s="22" t="s">
        <v>45</v>
      </c>
    </row>
    <row r="498" spans="1:13" x14ac:dyDescent="0.35">
      <c r="A498" s="18">
        <v>29</v>
      </c>
      <c r="B498" s="22" t="s">
        <v>38</v>
      </c>
      <c r="C498" s="18" t="s">
        <v>19</v>
      </c>
      <c r="D498" s="18">
        <v>3</v>
      </c>
      <c r="E498" s="18" t="s">
        <v>23</v>
      </c>
      <c r="F498" s="18" t="s">
        <v>27</v>
      </c>
      <c r="G498" s="18" t="s">
        <v>27</v>
      </c>
      <c r="H498" s="18">
        <v>9034</v>
      </c>
      <c r="I498" s="22" t="s">
        <v>42</v>
      </c>
      <c r="J498" s="18">
        <v>36</v>
      </c>
      <c r="K498" s="18" t="s">
        <v>13</v>
      </c>
      <c r="L498" s="18">
        <v>2</v>
      </c>
      <c r="M498" s="22" t="s">
        <v>45</v>
      </c>
    </row>
    <row r="499" spans="1:13" x14ac:dyDescent="0.35">
      <c r="A499" s="18">
        <v>40</v>
      </c>
      <c r="B499" s="22" t="s">
        <v>39</v>
      </c>
      <c r="C499" s="18" t="s">
        <v>19</v>
      </c>
      <c r="D499" s="18">
        <v>2</v>
      </c>
      <c r="E499" s="18" t="s">
        <v>21</v>
      </c>
      <c r="F499" s="18" t="s">
        <v>24</v>
      </c>
      <c r="G499" s="18" t="s">
        <v>10</v>
      </c>
      <c r="H499" s="18">
        <v>1585</v>
      </c>
      <c r="I499" s="22" t="s">
        <v>46</v>
      </c>
      <c r="J499" s="18">
        <v>24</v>
      </c>
      <c r="K499" s="18" t="s">
        <v>13</v>
      </c>
      <c r="L499" s="18">
        <v>1</v>
      </c>
      <c r="M499" s="22" t="s">
        <v>34</v>
      </c>
    </row>
    <row r="500" spans="1:13" x14ac:dyDescent="0.35">
      <c r="A500" s="18">
        <v>32</v>
      </c>
      <c r="B500" s="22" t="s">
        <v>39</v>
      </c>
      <c r="C500" s="18" t="s">
        <v>19</v>
      </c>
      <c r="D500" s="18">
        <v>1</v>
      </c>
      <c r="E500" s="18" t="s">
        <v>21</v>
      </c>
      <c r="F500" s="18" t="s">
        <v>24</v>
      </c>
      <c r="G500" s="18" t="s">
        <v>27</v>
      </c>
      <c r="H500" s="18">
        <v>1301</v>
      </c>
      <c r="I500" s="22" t="s">
        <v>46</v>
      </c>
      <c r="J500" s="18">
        <v>18</v>
      </c>
      <c r="K500" s="18" t="s">
        <v>11</v>
      </c>
      <c r="L500" s="18">
        <v>1</v>
      </c>
      <c r="M500" s="22" t="s">
        <v>34</v>
      </c>
    </row>
    <row r="501" spans="1:13" x14ac:dyDescent="0.35">
      <c r="A501" s="18">
        <v>28</v>
      </c>
      <c r="B501" s="22" t="s">
        <v>38</v>
      </c>
      <c r="C501" s="18" t="s">
        <v>19</v>
      </c>
      <c r="D501" s="18">
        <v>2</v>
      </c>
      <c r="E501" s="18" t="s">
        <v>21</v>
      </c>
      <c r="F501" s="18" t="s">
        <v>27</v>
      </c>
      <c r="G501" s="18" t="s">
        <v>26</v>
      </c>
      <c r="H501" s="18">
        <v>1323</v>
      </c>
      <c r="I501" s="22" t="s">
        <v>46</v>
      </c>
      <c r="J501" s="18">
        <v>6</v>
      </c>
      <c r="K501" s="18" t="s">
        <v>14</v>
      </c>
      <c r="L501" s="18">
        <v>1</v>
      </c>
      <c r="M501" s="22" t="s">
        <v>34</v>
      </c>
    </row>
    <row r="502" spans="1:13" x14ac:dyDescent="0.35">
      <c r="A502" s="18">
        <v>27</v>
      </c>
      <c r="B502" s="22" t="s">
        <v>38</v>
      </c>
      <c r="C502" s="18" t="s">
        <v>20</v>
      </c>
      <c r="D502" s="18">
        <v>2</v>
      </c>
      <c r="E502" s="18" t="s">
        <v>21</v>
      </c>
      <c r="F502" s="18" t="s">
        <v>24</v>
      </c>
      <c r="G502" s="18" t="s">
        <v>24</v>
      </c>
      <c r="H502" s="18">
        <v>3123</v>
      </c>
      <c r="I502" s="22" t="s">
        <v>43</v>
      </c>
      <c r="J502" s="18">
        <v>24</v>
      </c>
      <c r="K502" s="18" t="s">
        <v>14</v>
      </c>
      <c r="L502" s="18">
        <v>2</v>
      </c>
      <c r="M502" s="22" t="s">
        <v>45</v>
      </c>
    </row>
    <row r="503" spans="1:13" x14ac:dyDescent="0.35">
      <c r="A503" s="18">
        <v>42</v>
      </c>
      <c r="B503" s="22" t="s">
        <v>39</v>
      </c>
      <c r="C503" s="18" t="s">
        <v>19</v>
      </c>
      <c r="D503" s="18">
        <v>2</v>
      </c>
      <c r="E503" s="18" t="s">
        <v>22</v>
      </c>
      <c r="F503" s="18" t="s">
        <v>24</v>
      </c>
      <c r="G503" s="18" t="s">
        <v>24</v>
      </c>
      <c r="H503" s="18">
        <v>5493</v>
      </c>
      <c r="I503" s="22" t="s">
        <v>42</v>
      </c>
      <c r="J503" s="18">
        <v>36</v>
      </c>
      <c r="K503" s="18" t="s">
        <v>14</v>
      </c>
      <c r="L503" s="18">
        <v>1</v>
      </c>
      <c r="M503" s="22" t="s">
        <v>34</v>
      </c>
    </row>
    <row r="504" spans="1:13" x14ac:dyDescent="0.35">
      <c r="A504" s="18">
        <v>49</v>
      </c>
      <c r="B504" s="22" t="s">
        <v>39</v>
      </c>
      <c r="C504" s="18" t="s">
        <v>19</v>
      </c>
      <c r="D504" s="18">
        <v>2</v>
      </c>
      <c r="E504" s="18" t="s">
        <v>21</v>
      </c>
      <c r="F504" s="18" t="s">
        <v>27</v>
      </c>
      <c r="G504" s="18" t="s">
        <v>26</v>
      </c>
      <c r="H504" s="18">
        <v>1126</v>
      </c>
      <c r="I504" s="22" t="s">
        <v>46</v>
      </c>
      <c r="J504" s="18">
        <v>9</v>
      </c>
      <c r="K504" s="18" t="s">
        <v>11</v>
      </c>
      <c r="L504" s="18">
        <v>1</v>
      </c>
      <c r="M504" s="22" t="s">
        <v>34</v>
      </c>
    </row>
    <row r="505" spans="1:13" x14ac:dyDescent="0.35">
      <c r="A505" s="18">
        <v>38</v>
      </c>
      <c r="B505" s="22" t="s">
        <v>39</v>
      </c>
      <c r="C505" s="18" t="s">
        <v>19</v>
      </c>
      <c r="D505" s="18">
        <v>2</v>
      </c>
      <c r="E505" s="18" t="s">
        <v>21</v>
      </c>
      <c r="F505" s="18" t="s">
        <v>27</v>
      </c>
      <c r="G505" s="18" t="s">
        <v>27</v>
      </c>
      <c r="H505" s="18">
        <v>1216</v>
      </c>
      <c r="I505" s="22" t="s">
        <v>46</v>
      </c>
      <c r="J505" s="18">
        <v>24</v>
      </c>
      <c r="K505" s="18" t="s">
        <v>11</v>
      </c>
      <c r="L505" s="18">
        <v>2</v>
      </c>
      <c r="M505" s="22" t="s">
        <v>45</v>
      </c>
    </row>
    <row r="506" spans="1:13" x14ac:dyDescent="0.35">
      <c r="A506" s="18">
        <v>24</v>
      </c>
      <c r="B506" s="22" t="s">
        <v>38</v>
      </c>
      <c r="C506" s="18" t="s">
        <v>20</v>
      </c>
      <c r="D506" s="18">
        <v>2</v>
      </c>
      <c r="E506" s="18" t="s">
        <v>23</v>
      </c>
      <c r="F506" s="18" t="s">
        <v>24</v>
      </c>
      <c r="G506" s="18" t="s">
        <v>24</v>
      </c>
      <c r="H506" s="18">
        <v>1207</v>
      </c>
      <c r="I506" s="22" t="s">
        <v>46</v>
      </c>
      <c r="J506" s="18">
        <v>24</v>
      </c>
      <c r="K506" s="18" t="s">
        <v>14</v>
      </c>
      <c r="L506" s="18">
        <v>2</v>
      </c>
      <c r="M506" s="22" t="s">
        <v>45</v>
      </c>
    </row>
    <row r="507" spans="1:13" x14ac:dyDescent="0.35">
      <c r="A507" s="18">
        <v>27</v>
      </c>
      <c r="B507" s="22" t="s">
        <v>38</v>
      </c>
      <c r="C507" s="18" t="s">
        <v>19</v>
      </c>
      <c r="D507" s="18">
        <v>1</v>
      </c>
      <c r="E507" s="18" t="s">
        <v>21</v>
      </c>
      <c r="F507" s="18" t="s">
        <v>10</v>
      </c>
      <c r="G507" s="18" t="s">
        <v>10</v>
      </c>
      <c r="H507" s="18">
        <v>1309</v>
      </c>
      <c r="I507" s="22" t="s">
        <v>46</v>
      </c>
      <c r="J507" s="18">
        <v>10</v>
      </c>
      <c r="K507" s="18" t="s">
        <v>14</v>
      </c>
      <c r="L507" s="18">
        <v>2</v>
      </c>
      <c r="M507" s="22" t="s">
        <v>45</v>
      </c>
    </row>
    <row r="508" spans="1:13" x14ac:dyDescent="0.35">
      <c r="A508" s="18">
        <v>36</v>
      </c>
      <c r="B508" s="22" t="s">
        <v>39</v>
      </c>
      <c r="C508" s="18" t="s">
        <v>19</v>
      </c>
      <c r="D508" s="18">
        <v>2</v>
      </c>
      <c r="E508" s="18" t="s">
        <v>21</v>
      </c>
      <c r="F508" s="18" t="s">
        <v>25</v>
      </c>
      <c r="G508" s="18" t="s">
        <v>26</v>
      </c>
      <c r="H508" s="18">
        <v>2360</v>
      </c>
      <c r="I508" s="22" t="s">
        <v>43</v>
      </c>
      <c r="J508" s="18">
        <v>15</v>
      </c>
      <c r="K508" s="18" t="s">
        <v>14</v>
      </c>
      <c r="L508" s="18">
        <v>1</v>
      </c>
      <c r="M508" s="22" t="s">
        <v>34</v>
      </c>
    </row>
    <row r="509" spans="1:13" x14ac:dyDescent="0.35">
      <c r="A509" s="18">
        <v>34</v>
      </c>
      <c r="B509" s="22" t="s">
        <v>39</v>
      </c>
      <c r="C509" s="18" t="s">
        <v>19</v>
      </c>
      <c r="D509" s="18">
        <v>3</v>
      </c>
      <c r="E509" s="18" t="s">
        <v>21</v>
      </c>
      <c r="F509" s="18" t="s">
        <v>27</v>
      </c>
      <c r="G509" s="18" t="s">
        <v>27</v>
      </c>
      <c r="H509" s="18">
        <v>6850</v>
      </c>
      <c r="I509" s="22" t="s">
        <v>42</v>
      </c>
      <c r="J509" s="18">
        <v>15</v>
      </c>
      <c r="K509" s="18" t="s">
        <v>14</v>
      </c>
      <c r="L509" s="18">
        <v>2</v>
      </c>
      <c r="M509" s="22" t="s">
        <v>45</v>
      </c>
    </row>
    <row r="510" spans="1:13" x14ac:dyDescent="0.35">
      <c r="A510" s="18">
        <v>28</v>
      </c>
      <c r="B510" s="22" t="s">
        <v>38</v>
      </c>
      <c r="C510" s="18" t="s">
        <v>19</v>
      </c>
      <c r="D510" s="18">
        <v>2</v>
      </c>
      <c r="E510" s="18" t="s">
        <v>21</v>
      </c>
      <c r="F510" s="18" t="s">
        <v>24</v>
      </c>
      <c r="G510" s="18" t="s">
        <v>10</v>
      </c>
      <c r="H510" s="18">
        <v>1413</v>
      </c>
      <c r="I510" s="22" t="s">
        <v>46</v>
      </c>
      <c r="J510" s="18">
        <v>24</v>
      </c>
      <c r="K510" s="18" t="s">
        <v>11</v>
      </c>
      <c r="L510" s="18">
        <v>1</v>
      </c>
      <c r="M510" s="22" t="s">
        <v>34</v>
      </c>
    </row>
    <row r="511" spans="1:13" x14ac:dyDescent="0.35">
      <c r="A511" s="18">
        <v>45</v>
      </c>
      <c r="B511" s="22" t="s">
        <v>39</v>
      </c>
      <c r="C511" s="18" t="s">
        <v>19</v>
      </c>
      <c r="D511" s="18">
        <v>3</v>
      </c>
      <c r="E511" s="18" t="s">
        <v>21</v>
      </c>
      <c r="F511" s="18" t="s">
        <v>27</v>
      </c>
      <c r="G511" s="18" t="s">
        <v>10</v>
      </c>
      <c r="H511" s="18">
        <v>8588</v>
      </c>
      <c r="I511" s="22" t="s">
        <v>42</v>
      </c>
      <c r="J511" s="18">
        <v>39</v>
      </c>
      <c r="K511" s="18" t="s">
        <v>14</v>
      </c>
      <c r="L511" s="18">
        <v>1</v>
      </c>
      <c r="M511" s="22" t="s">
        <v>34</v>
      </c>
    </row>
    <row r="512" spans="1:13" x14ac:dyDescent="0.35">
      <c r="A512" s="18">
        <v>26</v>
      </c>
      <c r="B512" s="22" t="s">
        <v>38</v>
      </c>
      <c r="C512" s="18" t="s">
        <v>19</v>
      </c>
      <c r="D512" s="18">
        <v>2</v>
      </c>
      <c r="E512" s="18" t="s">
        <v>21</v>
      </c>
      <c r="F512" s="18" t="s">
        <v>24</v>
      </c>
      <c r="G512" s="18" t="s">
        <v>24</v>
      </c>
      <c r="H512" s="18">
        <v>759</v>
      </c>
      <c r="I512" s="22" t="s">
        <v>46</v>
      </c>
      <c r="J512" s="18">
        <v>12</v>
      </c>
      <c r="K512" s="18" t="s">
        <v>14</v>
      </c>
      <c r="L512" s="18">
        <v>2</v>
      </c>
      <c r="M512" s="22" t="s">
        <v>45</v>
      </c>
    </row>
    <row r="513" spans="1:13" x14ac:dyDescent="0.35">
      <c r="A513" s="18">
        <v>32</v>
      </c>
      <c r="B513" s="22" t="s">
        <v>39</v>
      </c>
      <c r="C513" s="18" t="s">
        <v>19</v>
      </c>
      <c r="D513" s="18">
        <v>3</v>
      </c>
      <c r="E513" s="18" t="s">
        <v>22</v>
      </c>
      <c r="F513" s="18" t="s">
        <v>24</v>
      </c>
      <c r="G513" s="18" t="s">
        <v>10</v>
      </c>
      <c r="H513" s="18">
        <v>4686</v>
      </c>
      <c r="I513" s="22" t="s">
        <v>43</v>
      </c>
      <c r="J513" s="18">
        <v>36</v>
      </c>
      <c r="K513" s="18" t="s">
        <v>14</v>
      </c>
      <c r="L513" s="18">
        <v>1</v>
      </c>
      <c r="M513" s="22" t="s">
        <v>34</v>
      </c>
    </row>
    <row r="514" spans="1:13" x14ac:dyDescent="0.35">
      <c r="A514" s="18">
        <v>26</v>
      </c>
      <c r="B514" s="22" t="s">
        <v>38</v>
      </c>
      <c r="C514" s="18" t="s">
        <v>19</v>
      </c>
      <c r="D514" s="18">
        <v>2</v>
      </c>
      <c r="E514" s="18" t="s">
        <v>23</v>
      </c>
      <c r="F514" s="18" t="s">
        <v>24</v>
      </c>
      <c r="G514" s="18" t="s">
        <v>26</v>
      </c>
      <c r="H514" s="18">
        <v>2687</v>
      </c>
      <c r="I514" s="22" t="s">
        <v>43</v>
      </c>
      <c r="J514" s="18">
        <v>15</v>
      </c>
      <c r="K514" s="18" t="s">
        <v>15</v>
      </c>
      <c r="L514" s="18">
        <v>1</v>
      </c>
      <c r="M514" s="22" t="s">
        <v>34</v>
      </c>
    </row>
    <row r="515" spans="1:13" x14ac:dyDescent="0.35">
      <c r="A515" s="18">
        <v>20</v>
      </c>
      <c r="B515" s="22" t="s">
        <v>38</v>
      </c>
      <c r="C515" s="18" t="s">
        <v>19</v>
      </c>
      <c r="D515" s="18">
        <v>2</v>
      </c>
      <c r="E515" s="18" t="s">
        <v>23</v>
      </c>
      <c r="F515" s="18" t="s">
        <v>24</v>
      </c>
      <c r="G515" s="18" t="s">
        <v>27</v>
      </c>
      <c r="H515" s="18">
        <v>585</v>
      </c>
      <c r="I515" s="22" t="s">
        <v>46</v>
      </c>
      <c r="J515" s="18">
        <v>12</v>
      </c>
      <c r="K515" s="18" t="s">
        <v>11</v>
      </c>
      <c r="L515" s="18">
        <v>1</v>
      </c>
      <c r="M515" s="22" t="s">
        <v>34</v>
      </c>
    </row>
    <row r="516" spans="1:13" x14ac:dyDescent="0.35">
      <c r="A516" s="18">
        <v>54</v>
      </c>
      <c r="B516" s="22" t="s">
        <v>37</v>
      </c>
      <c r="C516" s="18" t="s">
        <v>19</v>
      </c>
      <c r="D516" s="18">
        <v>2</v>
      </c>
      <c r="E516" s="18" t="s">
        <v>21</v>
      </c>
      <c r="F516" s="18" t="s">
        <v>10</v>
      </c>
      <c r="G516" s="18" t="s">
        <v>10</v>
      </c>
      <c r="H516" s="18">
        <v>2255</v>
      </c>
      <c r="I516" s="22" t="s">
        <v>43</v>
      </c>
      <c r="J516" s="18">
        <v>24</v>
      </c>
      <c r="K516" s="18" t="s">
        <v>14</v>
      </c>
      <c r="L516" s="18">
        <v>1</v>
      </c>
      <c r="M516" s="22" t="s">
        <v>34</v>
      </c>
    </row>
    <row r="517" spans="1:13" x14ac:dyDescent="0.35">
      <c r="A517" s="18">
        <v>37</v>
      </c>
      <c r="B517" s="22" t="s">
        <v>39</v>
      </c>
      <c r="C517" s="18" t="s">
        <v>20</v>
      </c>
      <c r="D517" s="18">
        <v>2</v>
      </c>
      <c r="E517" s="18" t="s">
        <v>21</v>
      </c>
      <c r="F517" s="18" t="s">
        <v>24</v>
      </c>
      <c r="G517" s="18" t="s">
        <v>24</v>
      </c>
      <c r="H517" s="18">
        <v>609</v>
      </c>
      <c r="I517" s="22" t="s">
        <v>46</v>
      </c>
      <c r="J517" s="18">
        <v>6</v>
      </c>
      <c r="K517" s="18" t="s">
        <v>14</v>
      </c>
      <c r="L517" s="18">
        <v>1</v>
      </c>
      <c r="M517" s="22" t="s">
        <v>34</v>
      </c>
    </row>
    <row r="518" spans="1:13" x14ac:dyDescent="0.35">
      <c r="A518" s="18">
        <v>40</v>
      </c>
      <c r="B518" s="22" t="s">
        <v>39</v>
      </c>
      <c r="C518" s="18" t="s">
        <v>19</v>
      </c>
      <c r="D518" s="18">
        <v>1</v>
      </c>
      <c r="E518" s="18" t="s">
        <v>21</v>
      </c>
      <c r="F518" s="18" t="s">
        <v>24</v>
      </c>
      <c r="G518" s="18" t="s">
        <v>24</v>
      </c>
      <c r="H518" s="18">
        <v>1361</v>
      </c>
      <c r="I518" s="22" t="s">
        <v>46</v>
      </c>
      <c r="J518" s="18">
        <v>6</v>
      </c>
      <c r="K518" s="18" t="s">
        <v>14</v>
      </c>
      <c r="L518" s="18">
        <v>1</v>
      </c>
      <c r="M518" s="22" t="s">
        <v>34</v>
      </c>
    </row>
    <row r="519" spans="1:13" x14ac:dyDescent="0.35">
      <c r="A519" s="18">
        <v>23</v>
      </c>
      <c r="B519" s="22" t="s">
        <v>38</v>
      </c>
      <c r="C519" s="18" t="s">
        <v>20</v>
      </c>
      <c r="D519" s="18">
        <v>2</v>
      </c>
      <c r="E519" s="18" t="s">
        <v>23</v>
      </c>
      <c r="F519" s="18" t="s">
        <v>24</v>
      </c>
      <c r="G519" s="18" t="s">
        <v>10</v>
      </c>
      <c r="H519" s="18">
        <v>7127</v>
      </c>
      <c r="I519" s="22" t="s">
        <v>42</v>
      </c>
      <c r="J519" s="18">
        <v>36</v>
      </c>
      <c r="K519" s="18" t="s">
        <v>13</v>
      </c>
      <c r="L519" s="18">
        <v>2</v>
      </c>
      <c r="M519" s="22" t="s">
        <v>45</v>
      </c>
    </row>
    <row r="520" spans="1:13" x14ac:dyDescent="0.35">
      <c r="A520" s="18">
        <v>43</v>
      </c>
      <c r="B520" s="22" t="s">
        <v>39</v>
      </c>
      <c r="C520" s="18" t="s">
        <v>19</v>
      </c>
      <c r="D520" s="18">
        <v>2</v>
      </c>
      <c r="E520" s="18" t="s">
        <v>21</v>
      </c>
      <c r="F520" s="18" t="s">
        <v>27</v>
      </c>
      <c r="G520" s="18" t="s">
        <v>24</v>
      </c>
      <c r="H520" s="18">
        <v>1203</v>
      </c>
      <c r="I520" s="22" t="s">
        <v>46</v>
      </c>
      <c r="J520" s="18">
        <v>6</v>
      </c>
      <c r="K520" s="18" t="s">
        <v>14</v>
      </c>
      <c r="L520" s="18">
        <v>1</v>
      </c>
      <c r="M520" s="22" t="s">
        <v>34</v>
      </c>
    </row>
    <row r="521" spans="1:13" x14ac:dyDescent="0.35">
      <c r="A521" s="18">
        <v>36</v>
      </c>
      <c r="B521" s="22" t="s">
        <v>39</v>
      </c>
      <c r="C521" s="18" t="s">
        <v>19</v>
      </c>
      <c r="D521" s="18">
        <v>2</v>
      </c>
      <c r="E521" s="18" t="s">
        <v>22</v>
      </c>
      <c r="F521" s="18" t="s">
        <v>10</v>
      </c>
      <c r="G521" s="18" t="s">
        <v>10</v>
      </c>
      <c r="H521" s="18">
        <v>700</v>
      </c>
      <c r="I521" s="22" t="s">
        <v>46</v>
      </c>
      <c r="J521" s="18">
        <v>6</v>
      </c>
      <c r="K521" s="18" t="s">
        <v>11</v>
      </c>
      <c r="L521" s="18">
        <v>1</v>
      </c>
      <c r="M521" s="22" t="s">
        <v>34</v>
      </c>
    </row>
    <row r="522" spans="1:13" x14ac:dyDescent="0.35">
      <c r="A522" s="18">
        <v>44</v>
      </c>
      <c r="B522" s="22" t="s">
        <v>39</v>
      </c>
      <c r="C522" s="18" t="s">
        <v>19</v>
      </c>
      <c r="D522" s="18">
        <v>2</v>
      </c>
      <c r="E522" s="18" t="s">
        <v>22</v>
      </c>
      <c r="F522" s="18" t="s">
        <v>24</v>
      </c>
      <c r="G522" s="18" t="s">
        <v>10</v>
      </c>
      <c r="H522" s="18">
        <v>5507</v>
      </c>
      <c r="I522" s="22" t="s">
        <v>42</v>
      </c>
      <c r="J522" s="18">
        <v>24</v>
      </c>
      <c r="K522" s="18" t="s">
        <v>17</v>
      </c>
      <c r="L522" s="18">
        <v>1</v>
      </c>
      <c r="M522" s="22" t="s">
        <v>34</v>
      </c>
    </row>
    <row r="523" spans="1:13" x14ac:dyDescent="0.35">
      <c r="A523" s="18">
        <v>24</v>
      </c>
      <c r="B523" s="22" t="s">
        <v>38</v>
      </c>
      <c r="C523" s="18" t="s">
        <v>20</v>
      </c>
      <c r="D523" s="18">
        <v>2</v>
      </c>
      <c r="E523" s="18" t="s">
        <v>21</v>
      </c>
      <c r="F523" s="18" t="s">
        <v>24</v>
      </c>
      <c r="G523" s="18" t="s">
        <v>24</v>
      </c>
      <c r="H523" s="18">
        <v>3190</v>
      </c>
      <c r="I523" s="22" t="s">
        <v>43</v>
      </c>
      <c r="J523" s="18">
        <v>18</v>
      </c>
      <c r="K523" s="18" t="s">
        <v>11</v>
      </c>
      <c r="L523" s="18">
        <v>2</v>
      </c>
      <c r="M523" s="22" t="s">
        <v>45</v>
      </c>
    </row>
    <row r="524" spans="1:13" x14ac:dyDescent="0.35">
      <c r="A524" s="18">
        <v>53</v>
      </c>
      <c r="B524" s="22" t="s">
        <v>37</v>
      </c>
      <c r="C524" s="18" t="s">
        <v>19</v>
      </c>
      <c r="D524" s="18">
        <v>2</v>
      </c>
      <c r="E524" s="18" t="s">
        <v>22</v>
      </c>
      <c r="F524" s="18" t="s">
        <v>24</v>
      </c>
      <c r="G524" s="18" t="s">
        <v>24</v>
      </c>
      <c r="H524" s="18">
        <v>7119</v>
      </c>
      <c r="I524" s="22" t="s">
        <v>42</v>
      </c>
      <c r="J524" s="18">
        <v>48</v>
      </c>
      <c r="K524" s="18" t="s">
        <v>13</v>
      </c>
      <c r="L524" s="18">
        <v>2</v>
      </c>
      <c r="M524" s="22" t="s">
        <v>45</v>
      </c>
    </row>
    <row r="525" spans="1:13" x14ac:dyDescent="0.35">
      <c r="A525" s="18">
        <v>23</v>
      </c>
      <c r="B525" s="22" t="s">
        <v>38</v>
      </c>
      <c r="C525" s="18" t="s">
        <v>20</v>
      </c>
      <c r="D525" s="18">
        <v>2</v>
      </c>
      <c r="E525" s="18" t="s">
        <v>21</v>
      </c>
      <c r="F525" s="18" t="s">
        <v>27</v>
      </c>
      <c r="G525" s="18" t="s">
        <v>10</v>
      </c>
      <c r="H525" s="18">
        <v>3488</v>
      </c>
      <c r="I525" s="22" t="s">
        <v>43</v>
      </c>
      <c r="J525" s="18">
        <v>24</v>
      </c>
      <c r="K525" s="18" t="s">
        <v>14</v>
      </c>
      <c r="L525" s="18">
        <v>1</v>
      </c>
      <c r="M525" s="22" t="s">
        <v>34</v>
      </c>
    </row>
    <row r="526" spans="1:13" x14ac:dyDescent="0.35">
      <c r="A526" s="18">
        <v>26</v>
      </c>
      <c r="B526" s="22" t="s">
        <v>38</v>
      </c>
      <c r="C526" s="18" t="s">
        <v>20</v>
      </c>
      <c r="D526" s="18">
        <v>1</v>
      </c>
      <c r="E526" s="18" t="s">
        <v>21</v>
      </c>
      <c r="F526" s="18" t="s">
        <v>24</v>
      </c>
      <c r="G526" s="18" t="s">
        <v>27</v>
      </c>
      <c r="H526" s="18">
        <v>1113</v>
      </c>
      <c r="I526" s="22" t="s">
        <v>46</v>
      </c>
      <c r="J526" s="18">
        <v>18</v>
      </c>
      <c r="K526" s="18" t="s">
        <v>11</v>
      </c>
      <c r="L526" s="18">
        <v>1</v>
      </c>
      <c r="M526" s="22" t="s">
        <v>34</v>
      </c>
    </row>
    <row r="527" spans="1:13" x14ac:dyDescent="0.35">
      <c r="A527" s="18">
        <v>30</v>
      </c>
      <c r="B527" s="22" t="s">
        <v>39</v>
      </c>
      <c r="C527" s="18" t="s">
        <v>19</v>
      </c>
      <c r="D527" s="18">
        <v>2</v>
      </c>
      <c r="E527" s="18" t="s">
        <v>21</v>
      </c>
      <c r="F527" s="18" t="s">
        <v>24</v>
      </c>
      <c r="G527" s="18" t="s">
        <v>27</v>
      </c>
      <c r="H527" s="18">
        <v>7966</v>
      </c>
      <c r="I527" s="22" t="s">
        <v>42</v>
      </c>
      <c r="J527" s="18">
        <v>26</v>
      </c>
      <c r="K527" s="18" t="s">
        <v>14</v>
      </c>
      <c r="L527" s="18">
        <v>1</v>
      </c>
      <c r="M527" s="22" t="s">
        <v>34</v>
      </c>
    </row>
    <row r="528" spans="1:13" x14ac:dyDescent="0.35">
      <c r="A528" s="18">
        <v>31</v>
      </c>
      <c r="B528" s="22" t="s">
        <v>39</v>
      </c>
      <c r="C528" s="18" t="s">
        <v>20</v>
      </c>
      <c r="D528" s="18">
        <v>2</v>
      </c>
      <c r="E528" s="18" t="s">
        <v>21</v>
      </c>
      <c r="F528" s="18" t="s">
        <v>27</v>
      </c>
      <c r="G528" s="18" t="s">
        <v>10</v>
      </c>
      <c r="H528" s="18">
        <v>1532</v>
      </c>
      <c r="I528" s="22" t="s">
        <v>46</v>
      </c>
      <c r="J528" s="18">
        <v>15</v>
      </c>
      <c r="K528" s="18" t="s">
        <v>12</v>
      </c>
      <c r="L528" s="18">
        <v>1</v>
      </c>
      <c r="M528" s="22" t="s">
        <v>34</v>
      </c>
    </row>
    <row r="529" spans="1:13" x14ac:dyDescent="0.35">
      <c r="A529" s="18">
        <v>42</v>
      </c>
      <c r="B529" s="22" t="s">
        <v>39</v>
      </c>
      <c r="C529" s="18" t="s">
        <v>19</v>
      </c>
      <c r="D529" s="18">
        <v>1</v>
      </c>
      <c r="E529" s="18" t="s">
        <v>21</v>
      </c>
      <c r="F529" s="18" t="s">
        <v>24</v>
      </c>
      <c r="G529" s="18" t="s">
        <v>10</v>
      </c>
      <c r="H529" s="18">
        <v>1503</v>
      </c>
      <c r="I529" s="22" t="s">
        <v>46</v>
      </c>
      <c r="J529" s="18">
        <v>4</v>
      </c>
      <c r="K529" s="18" t="s">
        <v>11</v>
      </c>
      <c r="L529" s="18">
        <v>1</v>
      </c>
      <c r="M529" s="22" t="s">
        <v>34</v>
      </c>
    </row>
    <row r="530" spans="1:13" x14ac:dyDescent="0.35">
      <c r="A530" s="18">
        <v>31</v>
      </c>
      <c r="B530" s="22" t="s">
        <v>39</v>
      </c>
      <c r="C530" s="18" t="s">
        <v>19</v>
      </c>
      <c r="D530" s="18">
        <v>2</v>
      </c>
      <c r="E530" s="18" t="s">
        <v>23</v>
      </c>
      <c r="F530" s="18" t="s">
        <v>24</v>
      </c>
      <c r="G530" s="18" t="s">
        <v>24</v>
      </c>
      <c r="H530" s="18">
        <v>2302</v>
      </c>
      <c r="I530" s="22" t="s">
        <v>43</v>
      </c>
      <c r="J530" s="18">
        <v>36</v>
      </c>
      <c r="K530" s="18" t="s">
        <v>11</v>
      </c>
      <c r="L530" s="18">
        <v>2</v>
      </c>
      <c r="M530" s="22" t="s">
        <v>45</v>
      </c>
    </row>
    <row r="531" spans="1:13" x14ac:dyDescent="0.35">
      <c r="A531" s="18">
        <v>41</v>
      </c>
      <c r="B531" s="22" t="s">
        <v>39</v>
      </c>
      <c r="C531" s="18" t="s">
        <v>19</v>
      </c>
      <c r="D531" s="18">
        <v>1</v>
      </c>
      <c r="E531" s="18" t="s">
        <v>21</v>
      </c>
      <c r="F531" s="18" t="s">
        <v>24</v>
      </c>
      <c r="G531" s="18" t="s">
        <v>24</v>
      </c>
      <c r="H531" s="18">
        <v>662</v>
      </c>
      <c r="I531" s="22" t="s">
        <v>46</v>
      </c>
      <c r="J531" s="18">
        <v>6</v>
      </c>
      <c r="K531" s="18" t="s">
        <v>14</v>
      </c>
      <c r="L531" s="18">
        <v>1</v>
      </c>
      <c r="M531" s="22" t="s">
        <v>34</v>
      </c>
    </row>
    <row r="532" spans="1:13" x14ac:dyDescent="0.35">
      <c r="A532" s="18">
        <v>32</v>
      </c>
      <c r="B532" s="22" t="s">
        <v>39</v>
      </c>
      <c r="C532" s="18" t="s">
        <v>19</v>
      </c>
      <c r="D532" s="18">
        <v>2</v>
      </c>
      <c r="E532" s="18" t="s">
        <v>21</v>
      </c>
      <c r="F532" s="18" t="s">
        <v>24</v>
      </c>
      <c r="G532" s="18" t="s">
        <v>27</v>
      </c>
      <c r="H532" s="18">
        <v>2273</v>
      </c>
      <c r="I532" s="22" t="s">
        <v>43</v>
      </c>
      <c r="J532" s="18">
        <v>36</v>
      </c>
      <c r="K532" s="18" t="s">
        <v>12</v>
      </c>
      <c r="L532" s="18">
        <v>1</v>
      </c>
      <c r="M532" s="22" t="s">
        <v>34</v>
      </c>
    </row>
    <row r="533" spans="1:13" x14ac:dyDescent="0.35">
      <c r="A533" s="18">
        <v>28</v>
      </c>
      <c r="B533" s="22" t="s">
        <v>38</v>
      </c>
      <c r="C533" s="18" t="s">
        <v>20</v>
      </c>
      <c r="D533" s="18">
        <v>2</v>
      </c>
      <c r="E533" s="18" t="s">
        <v>23</v>
      </c>
      <c r="F533" s="18" t="s">
        <v>27</v>
      </c>
      <c r="G533" s="18" t="s">
        <v>27</v>
      </c>
      <c r="H533" s="18">
        <v>2631</v>
      </c>
      <c r="I533" s="22" t="s">
        <v>43</v>
      </c>
      <c r="J533" s="18">
        <v>15</v>
      </c>
      <c r="K533" s="18" t="s">
        <v>14</v>
      </c>
      <c r="L533" s="18">
        <v>2</v>
      </c>
      <c r="M533" s="22" t="s">
        <v>45</v>
      </c>
    </row>
    <row r="534" spans="1:13" x14ac:dyDescent="0.35">
      <c r="A534" s="18">
        <v>41</v>
      </c>
      <c r="B534" s="22" t="s">
        <v>39</v>
      </c>
      <c r="C534" s="18" t="s">
        <v>19</v>
      </c>
      <c r="D534" s="18">
        <v>2</v>
      </c>
      <c r="E534" s="18" t="s">
        <v>23</v>
      </c>
      <c r="F534" s="18" t="s">
        <v>24</v>
      </c>
      <c r="G534" s="18" t="s">
        <v>10</v>
      </c>
      <c r="H534" s="18">
        <v>1503</v>
      </c>
      <c r="I534" s="22" t="s">
        <v>46</v>
      </c>
      <c r="J534" s="18">
        <v>12</v>
      </c>
      <c r="K534" s="18" t="s">
        <v>14</v>
      </c>
      <c r="L534" s="18">
        <v>1</v>
      </c>
      <c r="M534" s="22" t="s">
        <v>34</v>
      </c>
    </row>
    <row r="535" spans="1:13" x14ac:dyDescent="0.35">
      <c r="A535" s="18">
        <v>26</v>
      </c>
      <c r="B535" s="22" t="s">
        <v>38</v>
      </c>
      <c r="C535" s="18" t="s">
        <v>19</v>
      </c>
      <c r="D535" s="18">
        <v>2</v>
      </c>
      <c r="E535" s="18" t="s">
        <v>21</v>
      </c>
      <c r="F535" s="18" t="s">
        <v>27</v>
      </c>
      <c r="G535" s="18" t="s">
        <v>10</v>
      </c>
      <c r="H535" s="18">
        <v>1311</v>
      </c>
      <c r="I535" s="22" t="s">
        <v>46</v>
      </c>
      <c r="J535" s="18">
        <v>24</v>
      </c>
      <c r="K535" s="18" t="s">
        <v>11</v>
      </c>
      <c r="L535" s="18">
        <v>1</v>
      </c>
      <c r="M535" s="22" t="s">
        <v>34</v>
      </c>
    </row>
    <row r="536" spans="1:13" x14ac:dyDescent="0.35">
      <c r="A536" s="18">
        <v>25</v>
      </c>
      <c r="B536" s="22" t="s">
        <v>38</v>
      </c>
      <c r="C536" s="18" t="s">
        <v>19</v>
      </c>
      <c r="D536" s="18">
        <v>2</v>
      </c>
      <c r="E536" s="18" t="s">
        <v>21</v>
      </c>
      <c r="F536" s="18" t="s">
        <v>10</v>
      </c>
      <c r="G536" s="18" t="s">
        <v>10</v>
      </c>
      <c r="H536" s="18">
        <v>3105</v>
      </c>
      <c r="I536" s="22" t="s">
        <v>43</v>
      </c>
      <c r="J536" s="18">
        <v>24</v>
      </c>
      <c r="K536" s="18" t="s">
        <v>11</v>
      </c>
      <c r="L536" s="18">
        <v>1</v>
      </c>
      <c r="M536" s="22" t="s">
        <v>34</v>
      </c>
    </row>
    <row r="537" spans="1:13" x14ac:dyDescent="0.35">
      <c r="A537" s="18">
        <v>33</v>
      </c>
      <c r="B537" s="22" t="s">
        <v>39</v>
      </c>
      <c r="C537" s="18" t="s">
        <v>19</v>
      </c>
      <c r="D537" s="18">
        <v>2</v>
      </c>
      <c r="E537" s="18" t="s">
        <v>23</v>
      </c>
      <c r="F537" s="18" t="s">
        <v>24</v>
      </c>
      <c r="G537" s="18" t="s">
        <v>26</v>
      </c>
      <c r="H537" s="18">
        <v>2319</v>
      </c>
      <c r="I537" s="22" t="s">
        <v>43</v>
      </c>
      <c r="J537" s="18">
        <v>21</v>
      </c>
      <c r="K537" s="18" t="s">
        <v>12</v>
      </c>
      <c r="L537" s="18">
        <v>2</v>
      </c>
      <c r="M537" s="22" t="s">
        <v>45</v>
      </c>
    </row>
    <row r="538" spans="1:13" x14ac:dyDescent="0.35">
      <c r="A538" s="18">
        <v>75</v>
      </c>
      <c r="B538" s="22" t="s">
        <v>37</v>
      </c>
      <c r="C538" s="18" t="s">
        <v>20</v>
      </c>
      <c r="D538" s="18">
        <v>3</v>
      </c>
      <c r="E538" s="18" t="s">
        <v>21</v>
      </c>
      <c r="F538" s="18" t="s">
        <v>10</v>
      </c>
      <c r="G538" s="18" t="s">
        <v>24</v>
      </c>
      <c r="H538" s="18">
        <v>1374</v>
      </c>
      <c r="I538" s="22" t="s">
        <v>46</v>
      </c>
      <c r="J538" s="18">
        <v>6</v>
      </c>
      <c r="K538" s="18" t="s">
        <v>14</v>
      </c>
      <c r="L538" s="18">
        <v>1</v>
      </c>
      <c r="M538" s="22" t="s">
        <v>34</v>
      </c>
    </row>
    <row r="539" spans="1:13" x14ac:dyDescent="0.35">
      <c r="A539" s="18">
        <v>37</v>
      </c>
      <c r="B539" s="22" t="s">
        <v>39</v>
      </c>
      <c r="C539" s="18" t="s">
        <v>20</v>
      </c>
      <c r="D539" s="18">
        <v>2</v>
      </c>
      <c r="E539" s="18" t="s">
        <v>21</v>
      </c>
      <c r="F539" s="18" t="s">
        <v>24</v>
      </c>
      <c r="G539" s="18" t="s">
        <v>27</v>
      </c>
      <c r="H539" s="18">
        <v>3612</v>
      </c>
      <c r="I539" s="22" t="s">
        <v>43</v>
      </c>
      <c r="J539" s="18">
        <v>18</v>
      </c>
      <c r="K539" s="18" t="s">
        <v>13</v>
      </c>
      <c r="L539" s="18">
        <v>1</v>
      </c>
      <c r="M539" s="22" t="s">
        <v>34</v>
      </c>
    </row>
    <row r="540" spans="1:13" x14ac:dyDescent="0.35">
      <c r="A540" s="18">
        <v>42</v>
      </c>
      <c r="B540" s="22" t="s">
        <v>39</v>
      </c>
      <c r="C540" s="18" t="s">
        <v>19</v>
      </c>
      <c r="D540" s="18">
        <v>3</v>
      </c>
      <c r="E540" s="18" t="s">
        <v>22</v>
      </c>
      <c r="F540" s="18" t="s">
        <v>24</v>
      </c>
      <c r="G540" s="18" t="s">
        <v>24</v>
      </c>
      <c r="H540" s="18">
        <v>7763</v>
      </c>
      <c r="I540" s="22" t="s">
        <v>42</v>
      </c>
      <c r="J540" s="18">
        <v>48</v>
      </c>
      <c r="K540" s="18" t="s">
        <v>14</v>
      </c>
      <c r="L540" s="18">
        <v>2</v>
      </c>
      <c r="M540" s="22" t="s">
        <v>45</v>
      </c>
    </row>
    <row r="541" spans="1:13" x14ac:dyDescent="0.35">
      <c r="A541" s="18">
        <v>45</v>
      </c>
      <c r="B541" s="22" t="s">
        <v>39</v>
      </c>
      <c r="C541" s="18" t="s">
        <v>20</v>
      </c>
      <c r="D541" s="18">
        <v>1</v>
      </c>
      <c r="E541" s="18" t="s">
        <v>21</v>
      </c>
      <c r="F541" s="18" t="s">
        <v>24</v>
      </c>
      <c r="G541" s="18" t="s">
        <v>26</v>
      </c>
      <c r="H541" s="18">
        <v>3049</v>
      </c>
      <c r="I541" s="22" t="s">
        <v>43</v>
      </c>
      <c r="J541" s="18">
        <v>18</v>
      </c>
      <c r="K541" s="18" t="s">
        <v>13</v>
      </c>
      <c r="L541" s="18">
        <v>1</v>
      </c>
      <c r="M541" s="22" t="s">
        <v>34</v>
      </c>
    </row>
    <row r="542" spans="1:13" x14ac:dyDescent="0.35">
      <c r="A542" s="18">
        <v>23</v>
      </c>
      <c r="B542" s="22" t="s">
        <v>38</v>
      </c>
      <c r="C542" s="18" t="s">
        <v>19</v>
      </c>
      <c r="D542" s="18">
        <v>2</v>
      </c>
      <c r="E542" s="18" t="s">
        <v>23</v>
      </c>
      <c r="F542" s="18" t="s">
        <v>24</v>
      </c>
      <c r="G542" s="18" t="s">
        <v>27</v>
      </c>
      <c r="H542" s="18">
        <v>1534</v>
      </c>
      <c r="I542" s="22" t="s">
        <v>46</v>
      </c>
      <c r="J542" s="18">
        <v>12</v>
      </c>
      <c r="K542" s="18" t="s">
        <v>11</v>
      </c>
      <c r="L542" s="18">
        <v>2</v>
      </c>
      <c r="M542" s="22" t="s">
        <v>45</v>
      </c>
    </row>
    <row r="543" spans="1:13" x14ac:dyDescent="0.35">
      <c r="A543" s="18">
        <v>60</v>
      </c>
      <c r="B543" s="22" t="s">
        <v>37</v>
      </c>
      <c r="C543" s="18" t="s">
        <v>19</v>
      </c>
      <c r="D543" s="18">
        <v>2</v>
      </c>
      <c r="E543" s="18" t="s">
        <v>22</v>
      </c>
      <c r="F543" s="18" t="s">
        <v>24</v>
      </c>
      <c r="G543" s="18" t="s">
        <v>10</v>
      </c>
      <c r="H543" s="18">
        <v>2032</v>
      </c>
      <c r="I543" s="22" t="s">
        <v>43</v>
      </c>
      <c r="J543" s="18">
        <v>24</v>
      </c>
      <c r="K543" s="18" t="s">
        <v>14</v>
      </c>
      <c r="L543" s="18">
        <v>1</v>
      </c>
      <c r="M543" s="22" t="s">
        <v>34</v>
      </c>
    </row>
    <row r="544" spans="1:13" x14ac:dyDescent="0.35">
      <c r="A544" s="18">
        <v>31</v>
      </c>
      <c r="B544" s="22" t="s">
        <v>39</v>
      </c>
      <c r="C544" s="18" t="s">
        <v>19</v>
      </c>
      <c r="D544" s="18">
        <v>2</v>
      </c>
      <c r="E544" s="18" t="s">
        <v>21</v>
      </c>
      <c r="F544" s="18" t="s">
        <v>10</v>
      </c>
      <c r="G544" s="18" t="s">
        <v>24</v>
      </c>
      <c r="H544" s="18">
        <v>6350</v>
      </c>
      <c r="I544" s="22" t="s">
        <v>42</v>
      </c>
      <c r="J544" s="18">
        <v>30</v>
      </c>
      <c r="K544" s="18" t="s">
        <v>13</v>
      </c>
      <c r="L544" s="18">
        <v>2</v>
      </c>
      <c r="M544" s="22" t="s">
        <v>45</v>
      </c>
    </row>
    <row r="545" spans="1:13" x14ac:dyDescent="0.35">
      <c r="A545" s="18">
        <v>34</v>
      </c>
      <c r="B545" s="22" t="s">
        <v>39</v>
      </c>
      <c r="C545" s="18" t="s">
        <v>19</v>
      </c>
      <c r="D545" s="18">
        <v>1</v>
      </c>
      <c r="E545" s="18" t="s">
        <v>21</v>
      </c>
      <c r="F545" s="18" t="s">
        <v>24</v>
      </c>
      <c r="G545" s="18" t="s">
        <v>26</v>
      </c>
      <c r="H545" s="18">
        <v>2864</v>
      </c>
      <c r="I545" s="22" t="s">
        <v>43</v>
      </c>
      <c r="J545" s="18">
        <v>18</v>
      </c>
      <c r="K545" s="18" t="s">
        <v>13</v>
      </c>
      <c r="L545" s="18">
        <v>2</v>
      </c>
      <c r="M545" s="22" t="s">
        <v>45</v>
      </c>
    </row>
    <row r="546" spans="1:13" x14ac:dyDescent="0.35">
      <c r="A546" s="18">
        <v>61</v>
      </c>
      <c r="B546" s="22" t="s">
        <v>37</v>
      </c>
      <c r="C546" s="18" t="s">
        <v>19</v>
      </c>
      <c r="D546" s="18">
        <v>1</v>
      </c>
      <c r="E546" s="18" t="s">
        <v>21</v>
      </c>
      <c r="F546" s="18" t="s">
        <v>24</v>
      </c>
      <c r="G546" s="18" t="s">
        <v>10</v>
      </c>
      <c r="H546" s="18">
        <v>1255</v>
      </c>
      <c r="I546" s="22" t="s">
        <v>46</v>
      </c>
      <c r="J546" s="18">
        <v>12</v>
      </c>
      <c r="K546" s="18" t="s">
        <v>14</v>
      </c>
      <c r="L546" s="18">
        <v>1</v>
      </c>
      <c r="M546" s="22" t="s">
        <v>34</v>
      </c>
    </row>
    <row r="547" spans="1:13" x14ac:dyDescent="0.35">
      <c r="A547" s="18">
        <v>43</v>
      </c>
      <c r="B547" s="22" t="s">
        <v>39</v>
      </c>
      <c r="C547" s="18" t="s">
        <v>19</v>
      </c>
      <c r="D547" s="18">
        <v>2</v>
      </c>
      <c r="E547" s="18" t="s">
        <v>22</v>
      </c>
      <c r="F547" s="18" t="s">
        <v>24</v>
      </c>
      <c r="G547" s="18" t="s">
        <v>24</v>
      </c>
      <c r="H547" s="18">
        <v>1333</v>
      </c>
      <c r="I547" s="22" t="s">
        <v>46</v>
      </c>
      <c r="J547" s="18">
        <v>24</v>
      </c>
      <c r="K547" s="18" t="s">
        <v>14</v>
      </c>
      <c r="L547" s="18">
        <v>2</v>
      </c>
      <c r="M547" s="22" t="s">
        <v>45</v>
      </c>
    </row>
    <row r="548" spans="1:13" x14ac:dyDescent="0.35">
      <c r="A548" s="18">
        <v>37</v>
      </c>
      <c r="B548" s="22" t="s">
        <v>39</v>
      </c>
      <c r="C548" s="18" t="s">
        <v>20</v>
      </c>
      <c r="D548" s="18">
        <v>2</v>
      </c>
      <c r="E548" s="18" t="s">
        <v>21</v>
      </c>
      <c r="F548" s="18" t="s">
        <v>24</v>
      </c>
      <c r="G548" s="18" t="s">
        <v>10</v>
      </c>
      <c r="H548" s="18">
        <v>2022</v>
      </c>
      <c r="I548" s="22" t="s">
        <v>43</v>
      </c>
      <c r="J548" s="18">
        <v>24</v>
      </c>
      <c r="K548" s="18" t="s">
        <v>14</v>
      </c>
      <c r="L548" s="18">
        <v>1</v>
      </c>
      <c r="M548" s="22" t="s">
        <v>34</v>
      </c>
    </row>
    <row r="549" spans="1:13" x14ac:dyDescent="0.35">
      <c r="A549" s="18">
        <v>32</v>
      </c>
      <c r="B549" s="22" t="s">
        <v>39</v>
      </c>
      <c r="C549" s="18" t="s">
        <v>19</v>
      </c>
      <c r="D549" s="18">
        <v>2</v>
      </c>
      <c r="E549" s="18" t="s">
        <v>21</v>
      </c>
      <c r="F549" s="18" t="s">
        <v>24</v>
      </c>
      <c r="G549" s="18" t="s">
        <v>10</v>
      </c>
      <c r="H549" s="18">
        <v>1552</v>
      </c>
      <c r="I549" s="22" t="s">
        <v>46</v>
      </c>
      <c r="J549" s="18">
        <v>24</v>
      </c>
      <c r="K549" s="18" t="s">
        <v>11</v>
      </c>
      <c r="L549" s="18">
        <v>1</v>
      </c>
      <c r="M549" s="22" t="s">
        <v>34</v>
      </c>
    </row>
    <row r="550" spans="1:13" x14ac:dyDescent="0.35">
      <c r="A550" s="18">
        <v>24</v>
      </c>
      <c r="B550" s="22" t="s">
        <v>38</v>
      </c>
      <c r="C550" s="18" t="s">
        <v>20</v>
      </c>
      <c r="D550" s="18">
        <v>1</v>
      </c>
      <c r="E550" s="18" t="s">
        <v>21</v>
      </c>
      <c r="F550" s="18" t="s">
        <v>24</v>
      </c>
      <c r="G550" s="18" t="s">
        <v>24</v>
      </c>
      <c r="H550" s="18">
        <v>626</v>
      </c>
      <c r="I550" s="22" t="s">
        <v>46</v>
      </c>
      <c r="J550" s="18">
        <v>12</v>
      </c>
      <c r="K550" s="18" t="s">
        <v>11</v>
      </c>
      <c r="L550" s="18">
        <v>2</v>
      </c>
      <c r="M550" s="22" t="s">
        <v>45</v>
      </c>
    </row>
    <row r="551" spans="1:13" x14ac:dyDescent="0.35">
      <c r="A551" s="18">
        <v>35</v>
      </c>
      <c r="B551" s="22" t="s">
        <v>39</v>
      </c>
      <c r="C551" s="18" t="s">
        <v>19</v>
      </c>
      <c r="D551" s="18">
        <v>2</v>
      </c>
      <c r="E551" s="18" t="s">
        <v>22</v>
      </c>
      <c r="F551" s="18" t="s">
        <v>10</v>
      </c>
      <c r="G551" s="18" t="s">
        <v>10</v>
      </c>
      <c r="H551" s="18">
        <v>8858</v>
      </c>
      <c r="I551" s="22" t="s">
        <v>42</v>
      </c>
      <c r="J551" s="18">
        <v>48</v>
      </c>
      <c r="K551" s="18" t="s">
        <v>14</v>
      </c>
      <c r="L551" s="18">
        <v>1</v>
      </c>
      <c r="M551" s="22" t="s">
        <v>34</v>
      </c>
    </row>
    <row r="552" spans="1:13" x14ac:dyDescent="0.35">
      <c r="A552" s="18">
        <v>23</v>
      </c>
      <c r="B552" s="22" t="s">
        <v>38</v>
      </c>
      <c r="C552" s="18" t="s">
        <v>20</v>
      </c>
      <c r="D552" s="18">
        <v>2</v>
      </c>
      <c r="E552" s="18" t="s">
        <v>21</v>
      </c>
      <c r="F552" s="18" t="s">
        <v>10</v>
      </c>
      <c r="G552" s="18" t="s">
        <v>10</v>
      </c>
      <c r="H552" s="18">
        <v>996</v>
      </c>
      <c r="I552" s="22" t="s">
        <v>46</v>
      </c>
      <c r="J552" s="18">
        <v>12</v>
      </c>
      <c r="K552" s="18" t="s">
        <v>17</v>
      </c>
      <c r="L552" s="18">
        <v>1</v>
      </c>
      <c r="M552" s="22" t="s">
        <v>34</v>
      </c>
    </row>
    <row r="553" spans="1:13" x14ac:dyDescent="0.35">
      <c r="A553" s="18">
        <v>45</v>
      </c>
      <c r="B553" s="22" t="s">
        <v>39</v>
      </c>
      <c r="C553" s="18" t="s">
        <v>19</v>
      </c>
      <c r="D553" s="18">
        <v>1</v>
      </c>
      <c r="E553" s="18" t="s">
        <v>21</v>
      </c>
      <c r="F553" s="18" t="s">
        <v>25</v>
      </c>
      <c r="G553" s="18" t="s">
        <v>10</v>
      </c>
      <c r="H553" s="18">
        <v>1750</v>
      </c>
      <c r="I553" s="22" t="s">
        <v>46</v>
      </c>
      <c r="J553" s="18">
        <v>6</v>
      </c>
      <c r="K553" s="18" t="s">
        <v>11</v>
      </c>
      <c r="L553" s="18">
        <v>1</v>
      </c>
      <c r="M553" s="22" t="s">
        <v>34</v>
      </c>
    </row>
    <row r="554" spans="1:13" x14ac:dyDescent="0.35">
      <c r="A554" s="18">
        <v>34</v>
      </c>
      <c r="B554" s="22" t="s">
        <v>39</v>
      </c>
      <c r="C554" s="18" t="s">
        <v>19</v>
      </c>
      <c r="D554" s="18">
        <v>2</v>
      </c>
      <c r="E554" s="18" t="s">
        <v>21</v>
      </c>
      <c r="F554" s="18" t="s">
        <v>24</v>
      </c>
      <c r="G554" s="18" t="s">
        <v>24</v>
      </c>
      <c r="H554" s="18">
        <v>6999</v>
      </c>
      <c r="I554" s="22" t="s">
        <v>42</v>
      </c>
      <c r="J554" s="18">
        <v>48</v>
      </c>
      <c r="K554" s="18" t="s">
        <v>11</v>
      </c>
      <c r="L554" s="18">
        <v>2</v>
      </c>
      <c r="M554" s="22" t="s">
        <v>45</v>
      </c>
    </row>
    <row r="555" spans="1:13" x14ac:dyDescent="0.35">
      <c r="A555" s="18">
        <v>27</v>
      </c>
      <c r="B555" s="22" t="s">
        <v>38</v>
      </c>
      <c r="C555" s="18" t="s">
        <v>19</v>
      </c>
      <c r="D555" s="18">
        <v>2</v>
      </c>
      <c r="E555" s="18" t="s">
        <v>21</v>
      </c>
      <c r="F555" s="18" t="s">
        <v>27</v>
      </c>
      <c r="G555" s="18" t="s">
        <v>27</v>
      </c>
      <c r="H555" s="18">
        <v>1995</v>
      </c>
      <c r="I555" s="22" t="s">
        <v>46</v>
      </c>
      <c r="J555" s="18">
        <v>12</v>
      </c>
      <c r="K555" s="18" t="s">
        <v>14</v>
      </c>
      <c r="L555" s="18">
        <v>1</v>
      </c>
      <c r="M555" s="22" t="s">
        <v>34</v>
      </c>
    </row>
    <row r="556" spans="1:13" x14ac:dyDescent="0.35">
      <c r="A556" s="18">
        <v>67</v>
      </c>
      <c r="B556" s="22" t="s">
        <v>37</v>
      </c>
      <c r="C556" s="18" t="s">
        <v>20</v>
      </c>
      <c r="D556" s="18">
        <v>3</v>
      </c>
      <c r="E556" s="18" t="s">
        <v>21</v>
      </c>
      <c r="F556" s="18" t="s">
        <v>24</v>
      </c>
      <c r="G556" s="18" t="s">
        <v>27</v>
      </c>
      <c r="H556" s="18">
        <v>1199</v>
      </c>
      <c r="I556" s="22" t="s">
        <v>46</v>
      </c>
      <c r="J556" s="18">
        <v>9</v>
      </c>
      <c r="K556" s="18" t="s">
        <v>12</v>
      </c>
      <c r="L556" s="18">
        <v>1</v>
      </c>
      <c r="M556" s="22" t="s">
        <v>34</v>
      </c>
    </row>
    <row r="557" spans="1:13" x14ac:dyDescent="0.35">
      <c r="A557" s="18">
        <v>22</v>
      </c>
      <c r="B557" s="22" t="s">
        <v>38</v>
      </c>
      <c r="C557" s="18" t="s">
        <v>19</v>
      </c>
      <c r="D557" s="18">
        <v>2</v>
      </c>
      <c r="E557" s="18" t="s">
        <v>21</v>
      </c>
      <c r="F557" s="18" t="s">
        <v>24</v>
      </c>
      <c r="G557" s="18" t="s">
        <v>27</v>
      </c>
      <c r="H557" s="18">
        <v>1331</v>
      </c>
      <c r="I557" s="22" t="s">
        <v>46</v>
      </c>
      <c r="J557" s="18">
        <v>12</v>
      </c>
      <c r="K557" s="18" t="s">
        <v>11</v>
      </c>
      <c r="L557" s="18">
        <v>2</v>
      </c>
      <c r="M557" s="22" t="s">
        <v>45</v>
      </c>
    </row>
    <row r="558" spans="1:13" x14ac:dyDescent="0.35">
      <c r="A558" s="18">
        <v>28</v>
      </c>
      <c r="B558" s="22" t="s">
        <v>38</v>
      </c>
      <c r="C558" s="18" t="s">
        <v>20</v>
      </c>
      <c r="D558" s="18">
        <v>2</v>
      </c>
      <c r="E558" s="18" t="s">
        <v>21</v>
      </c>
      <c r="F558" s="18" t="s">
        <v>27</v>
      </c>
      <c r="G558" s="18" t="s">
        <v>27</v>
      </c>
      <c r="H558" s="18">
        <v>2278</v>
      </c>
      <c r="I558" s="22" t="s">
        <v>43</v>
      </c>
      <c r="J558" s="18">
        <v>18</v>
      </c>
      <c r="K558" s="18" t="s">
        <v>14</v>
      </c>
      <c r="L558" s="18">
        <v>2</v>
      </c>
      <c r="M558" s="22" t="s">
        <v>45</v>
      </c>
    </row>
    <row r="559" spans="1:13" x14ac:dyDescent="0.35">
      <c r="A559" s="18">
        <v>29</v>
      </c>
      <c r="B559" s="22" t="s">
        <v>38</v>
      </c>
      <c r="C559" s="18" t="s">
        <v>20</v>
      </c>
      <c r="D559" s="18">
        <v>2</v>
      </c>
      <c r="E559" s="18" t="s">
        <v>21</v>
      </c>
      <c r="F559" s="18" t="s">
        <v>10</v>
      </c>
      <c r="G559" s="18" t="s">
        <v>10</v>
      </c>
      <c r="H559" s="18">
        <v>5003</v>
      </c>
      <c r="I559" s="22" t="s">
        <v>42</v>
      </c>
      <c r="J559" s="18">
        <v>21</v>
      </c>
      <c r="K559" s="18" t="s">
        <v>14</v>
      </c>
      <c r="L559" s="18">
        <v>2</v>
      </c>
      <c r="M559" s="22" t="s">
        <v>45</v>
      </c>
    </row>
    <row r="560" spans="1:13" x14ac:dyDescent="0.35">
      <c r="A560" s="18">
        <v>27</v>
      </c>
      <c r="B560" s="22" t="s">
        <v>38</v>
      </c>
      <c r="C560" s="18" t="s">
        <v>19</v>
      </c>
      <c r="D560" s="18">
        <v>2</v>
      </c>
      <c r="E560" s="18" t="s">
        <v>21</v>
      </c>
      <c r="F560" s="18" t="s">
        <v>24</v>
      </c>
      <c r="G560" s="18" t="s">
        <v>24</v>
      </c>
      <c r="H560" s="18">
        <v>3552</v>
      </c>
      <c r="I560" s="22" t="s">
        <v>43</v>
      </c>
      <c r="J560" s="18">
        <v>24</v>
      </c>
      <c r="K560" s="18" t="s">
        <v>13</v>
      </c>
      <c r="L560" s="18">
        <v>2</v>
      </c>
      <c r="M560" s="22" t="s">
        <v>45</v>
      </c>
    </row>
    <row r="561" spans="1:13" x14ac:dyDescent="0.35">
      <c r="A561" s="18">
        <v>31</v>
      </c>
      <c r="B561" s="22" t="s">
        <v>39</v>
      </c>
      <c r="C561" s="18" t="s">
        <v>19</v>
      </c>
      <c r="D561" s="18">
        <v>1</v>
      </c>
      <c r="E561" s="18" t="s">
        <v>21</v>
      </c>
      <c r="F561" s="18" t="s">
        <v>24</v>
      </c>
      <c r="G561" s="18" t="s">
        <v>27</v>
      </c>
      <c r="H561" s="18">
        <v>1928</v>
      </c>
      <c r="I561" s="22" t="s">
        <v>46</v>
      </c>
      <c r="J561" s="18">
        <v>18</v>
      </c>
      <c r="K561" s="18" t="s">
        <v>13</v>
      </c>
      <c r="L561" s="18">
        <v>2</v>
      </c>
      <c r="M561" s="22" t="s">
        <v>45</v>
      </c>
    </row>
    <row r="562" spans="1:13" x14ac:dyDescent="0.35">
      <c r="A562" s="18">
        <v>49</v>
      </c>
      <c r="B562" s="22" t="s">
        <v>39</v>
      </c>
      <c r="C562" s="18" t="s">
        <v>19</v>
      </c>
      <c r="D562" s="18">
        <v>2</v>
      </c>
      <c r="E562" s="18" t="s">
        <v>22</v>
      </c>
      <c r="F562" s="18" t="s">
        <v>10</v>
      </c>
      <c r="G562" s="18" t="s">
        <v>24</v>
      </c>
      <c r="H562" s="18">
        <v>2964</v>
      </c>
      <c r="I562" s="22" t="s">
        <v>43</v>
      </c>
      <c r="J562" s="18">
        <v>24</v>
      </c>
      <c r="K562" s="18" t="s">
        <v>14</v>
      </c>
      <c r="L562" s="18">
        <v>1</v>
      </c>
      <c r="M562" s="22" t="s">
        <v>34</v>
      </c>
    </row>
    <row r="563" spans="1:13" x14ac:dyDescent="0.35">
      <c r="A563" s="18">
        <v>24</v>
      </c>
      <c r="B563" s="22" t="s">
        <v>38</v>
      </c>
      <c r="C563" s="18" t="s">
        <v>19</v>
      </c>
      <c r="D563" s="18">
        <v>1</v>
      </c>
      <c r="E563" s="18" t="s">
        <v>23</v>
      </c>
      <c r="F563" s="18" t="s">
        <v>24</v>
      </c>
      <c r="G563" s="18" t="s">
        <v>24</v>
      </c>
      <c r="H563" s="18">
        <v>1546</v>
      </c>
      <c r="I563" s="22" t="s">
        <v>46</v>
      </c>
      <c r="J563" s="18">
        <v>24</v>
      </c>
      <c r="K563" s="18" t="s">
        <v>11</v>
      </c>
      <c r="L563" s="18">
        <v>2</v>
      </c>
      <c r="M563" s="22" t="s">
        <v>45</v>
      </c>
    </row>
    <row r="564" spans="1:13" x14ac:dyDescent="0.35">
      <c r="A564" s="18">
        <v>29</v>
      </c>
      <c r="B564" s="22" t="s">
        <v>38</v>
      </c>
      <c r="C564" s="18" t="s">
        <v>20</v>
      </c>
      <c r="D564" s="18">
        <v>2</v>
      </c>
      <c r="E564" s="18" t="s">
        <v>21</v>
      </c>
      <c r="F564" s="18" t="s">
        <v>24</v>
      </c>
      <c r="G564" s="18" t="s">
        <v>26</v>
      </c>
      <c r="H564" s="18">
        <v>683</v>
      </c>
      <c r="I564" s="22" t="s">
        <v>46</v>
      </c>
      <c r="J564" s="18">
        <v>6</v>
      </c>
      <c r="K564" s="18" t="s">
        <v>11</v>
      </c>
      <c r="L564" s="18">
        <v>1</v>
      </c>
      <c r="M564" s="22" t="s">
        <v>34</v>
      </c>
    </row>
    <row r="565" spans="1:13" x14ac:dyDescent="0.35">
      <c r="A565" s="18">
        <v>37</v>
      </c>
      <c r="B565" s="22" t="s">
        <v>39</v>
      </c>
      <c r="C565" s="18" t="s">
        <v>19</v>
      </c>
      <c r="D565" s="18">
        <v>2</v>
      </c>
      <c r="E565" s="18" t="s">
        <v>22</v>
      </c>
      <c r="F565" s="18" t="s">
        <v>10</v>
      </c>
      <c r="G565" s="18" t="s">
        <v>27</v>
      </c>
      <c r="H565" s="18">
        <v>12389</v>
      </c>
      <c r="I565" s="22" t="s">
        <v>42</v>
      </c>
      <c r="J565" s="18">
        <v>36</v>
      </c>
      <c r="K565" s="18" t="s">
        <v>14</v>
      </c>
      <c r="L565" s="18">
        <v>2</v>
      </c>
      <c r="M565" s="22" t="s">
        <v>45</v>
      </c>
    </row>
    <row r="566" spans="1:13" x14ac:dyDescent="0.35">
      <c r="A566" s="18">
        <v>37</v>
      </c>
      <c r="B566" s="22" t="s">
        <v>39</v>
      </c>
      <c r="C566" s="18" t="s">
        <v>19</v>
      </c>
      <c r="D566" s="18">
        <v>3</v>
      </c>
      <c r="E566" s="18" t="s">
        <v>21</v>
      </c>
      <c r="F566" s="18" t="s">
        <v>10</v>
      </c>
      <c r="G566" s="18" t="s">
        <v>27</v>
      </c>
      <c r="H566" s="18">
        <v>4712</v>
      </c>
      <c r="I566" s="22" t="s">
        <v>43</v>
      </c>
      <c r="J566" s="18">
        <v>24</v>
      </c>
      <c r="K566" s="18" t="s">
        <v>15</v>
      </c>
      <c r="L566" s="18">
        <v>1</v>
      </c>
      <c r="M566" s="22" t="s">
        <v>34</v>
      </c>
    </row>
    <row r="567" spans="1:13" x14ac:dyDescent="0.35">
      <c r="A567" s="18">
        <v>23</v>
      </c>
      <c r="B567" s="22" t="s">
        <v>38</v>
      </c>
      <c r="C567" s="18" t="s">
        <v>20</v>
      </c>
      <c r="D567" s="18">
        <v>2</v>
      </c>
      <c r="E567" s="18" t="s">
        <v>23</v>
      </c>
      <c r="F567" s="18" t="s">
        <v>27</v>
      </c>
      <c r="G567" s="18" t="s">
        <v>27</v>
      </c>
      <c r="H567" s="18">
        <v>1553</v>
      </c>
      <c r="I567" s="22" t="s">
        <v>46</v>
      </c>
      <c r="J567" s="18">
        <v>24</v>
      </c>
      <c r="K567" s="18" t="s">
        <v>11</v>
      </c>
      <c r="L567" s="18">
        <v>1</v>
      </c>
      <c r="M567" s="22" t="s">
        <v>34</v>
      </c>
    </row>
    <row r="568" spans="1:13" x14ac:dyDescent="0.35">
      <c r="A568" s="18">
        <v>36</v>
      </c>
      <c r="B568" s="22" t="s">
        <v>39</v>
      </c>
      <c r="C568" s="18" t="s">
        <v>19</v>
      </c>
      <c r="D568" s="18">
        <v>2</v>
      </c>
      <c r="E568" s="18" t="s">
        <v>21</v>
      </c>
      <c r="F568" s="18" t="s">
        <v>24</v>
      </c>
      <c r="G568" s="18" t="s">
        <v>24</v>
      </c>
      <c r="H568" s="18">
        <v>1372</v>
      </c>
      <c r="I568" s="22" t="s">
        <v>46</v>
      </c>
      <c r="J568" s="18">
        <v>12</v>
      </c>
      <c r="K568" s="18" t="s">
        <v>14</v>
      </c>
      <c r="L568" s="18">
        <v>2</v>
      </c>
      <c r="M568" s="22" t="s">
        <v>45</v>
      </c>
    </row>
    <row r="569" spans="1:13" x14ac:dyDescent="0.35">
      <c r="A569" s="18">
        <v>34</v>
      </c>
      <c r="B569" s="22" t="s">
        <v>39</v>
      </c>
      <c r="C569" s="18" t="s">
        <v>19</v>
      </c>
      <c r="D569" s="18">
        <v>2</v>
      </c>
      <c r="E569" s="18" t="s">
        <v>21</v>
      </c>
      <c r="F569" s="18" t="s">
        <v>26</v>
      </c>
      <c r="G569" s="18" t="s">
        <v>10</v>
      </c>
      <c r="H569" s="18">
        <v>2578</v>
      </c>
      <c r="I569" s="22" t="s">
        <v>43</v>
      </c>
      <c r="J569" s="18">
        <v>24</v>
      </c>
      <c r="K569" s="18" t="s">
        <v>11</v>
      </c>
      <c r="L569" s="18">
        <v>1</v>
      </c>
      <c r="M569" s="22" t="s">
        <v>34</v>
      </c>
    </row>
    <row r="570" spans="1:13" x14ac:dyDescent="0.35">
      <c r="A570" s="18">
        <v>41</v>
      </c>
      <c r="B570" s="22" t="s">
        <v>39</v>
      </c>
      <c r="C570" s="18" t="s">
        <v>19</v>
      </c>
      <c r="D570" s="18">
        <v>2</v>
      </c>
      <c r="E570" s="18" t="s">
        <v>21</v>
      </c>
      <c r="F570" s="18" t="s">
        <v>10</v>
      </c>
      <c r="G570" s="18" t="s">
        <v>27</v>
      </c>
      <c r="H570" s="18">
        <v>3979</v>
      </c>
      <c r="I570" s="22" t="s">
        <v>43</v>
      </c>
      <c r="J570" s="18">
        <v>48</v>
      </c>
      <c r="K570" s="18" t="s">
        <v>11</v>
      </c>
      <c r="L570" s="18">
        <v>1</v>
      </c>
      <c r="M570" s="22" t="s">
        <v>34</v>
      </c>
    </row>
    <row r="571" spans="1:13" x14ac:dyDescent="0.35">
      <c r="A571" s="18">
        <v>31</v>
      </c>
      <c r="B571" s="22" t="s">
        <v>39</v>
      </c>
      <c r="C571" s="18" t="s">
        <v>20</v>
      </c>
      <c r="D571" s="18">
        <v>2</v>
      </c>
      <c r="E571" s="18" t="s">
        <v>21</v>
      </c>
      <c r="F571" s="18" t="s">
        <v>24</v>
      </c>
      <c r="G571" s="18" t="s">
        <v>24</v>
      </c>
      <c r="H571" s="18">
        <v>6758</v>
      </c>
      <c r="I571" s="22" t="s">
        <v>42</v>
      </c>
      <c r="J571" s="18">
        <v>48</v>
      </c>
      <c r="K571" s="18" t="s">
        <v>11</v>
      </c>
      <c r="L571" s="18">
        <v>2</v>
      </c>
      <c r="M571" s="22" t="s">
        <v>45</v>
      </c>
    </row>
    <row r="572" spans="1:13" x14ac:dyDescent="0.35">
      <c r="A572" s="18">
        <v>23</v>
      </c>
      <c r="B572" s="22" t="s">
        <v>38</v>
      </c>
      <c r="C572" s="18" t="s">
        <v>20</v>
      </c>
      <c r="D572" s="18">
        <v>1</v>
      </c>
      <c r="E572" s="18" t="s">
        <v>23</v>
      </c>
      <c r="F572" s="18" t="s">
        <v>24</v>
      </c>
      <c r="G572" s="18" t="s">
        <v>24</v>
      </c>
      <c r="H572" s="18">
        <v>3234</v>
      </c>
      <c r="I572" s="22" t="s">
        <v>43</v>
      </c>
      <c r="J572" s="18">
        <v>24</v>
      </c>
      <c r="K572" s="18" t="s">
        <v>13</v>
      </c>
      <c r="L572" s="18">
        <v>2</v>
      </c>
      <c r="M572" s="22" t="s">
        <v>45</v>
      </c>
    </row>
    <row r="573" spans="1:13" x14ac:dyDescent="0.35">
      <c r="A573" s="18">
        <v>38</v>
      </c>
      <c r="B573" s="22" t="s">
        <v>39</v>
      </c>
      <c r="C573" s="18" t="s">
        <v>19</v>
      </c>
      <c r="D573" s="18">
        <v>2</v>
      </c>
      <c r="E573" s="18" t="s">
        <v>21</v>
      </c>
      <c r="F573" s="18" t="s">
        <v>24</v>
      </c>
      <c r="G573" s="18" t="s">
        <v>10</v>
      </c>
      <c r="H573" s="18">
        <v>5954</v>
      </c>
      <c r="I573" s="22" t="s">
        <v>42</v>
      </c>
      <c r="J573" s="18">
        <v>30</v>
      </c>
      <c r="K573" s="18" t="s">
        <v>11</v>
      </c>
      <c r="L573" s="18">
        <v>1</v>
      </c>
      <c r="M573" s="22" t="s">
        <v>34</v>
      </c>
    </row>
    <row r="574" spans="1:13" x14ac:dyDescent="0.35">
      <c r="A574" s="18">
        <v>26</v>
      </c>
      <c r="B574" s="22" t="s">
        <v>38</v>
      </c>
      <c r="C574" s="18" t="s">
        <v>20</v>
      </c>
      <c r="D574" s="18">
        <v>3</v>
      </c>
      <c r="E574" s="18" t="s">
        <v>23</v>
      </c>
      <c r="F574" s="18" t="s">
        <v>10</v>
      </c>
      <c r="G574" s="18" t="s">
        <v>10</v>
      </c>
      <c r="H574" s="18">
        <v>5433</v>
      </c>
      <c r="I574" s="22" t="s">
        <v>42</v>
      </c>
      <c r="J574" s="18">
        <v>24</v>
      </c>
      <c r="K574" s="18" t="s">
        <v>14</v>
      </c>
      <c r="L574" s="18">
        <v>1</v>
      </c>
      <c r="M574" s="22" t="s">
        <v>34</v>
      </c>
    </row>
    <row r="575" spans="1:13" x14ac:dyDescent="0.35">
      <c r="A575" s="18">
        <v>22</v>
      </c>
      <c r="B575" s="22" t="s">
        <v>38</v>
      </c>
      <c r="C575" s="18" t="s">
        <v>20</v>
      </c>
      <c r="D575" s="18">
        <v>1</v>
      </c>
      <c r="E575" s="18" t="s">
        <v>21</v>
      </c>
      <c r="F575" s="18" t="s">
        <v>24</v>
      </c>
      <c r="G575" s="18" t="s">
        <v>24</v>
      </c>
      <c r="H575" s="18">
        <v>806</v>
      </c>
      <c r="I575" s="22" t="s">
        <v>46</v>
      </c>
      <c r="J575" s="18">
        <v>15</v>
      </c>
      <c r="K575" s="18" t="s">
        <v>15</v>
      </c>
      <c r="L575" s="18">
        <v>1</v>
      </c>
      <c r="M575" s="22" t="s">
        <v>34</v>
      </c>
    </row>
    <row r="576" spans="1:13" x14ac:dyDescent="0.35">
      <c r="A576" s="18">
        <v>27</v>
      </c>
      <c r="B576" s="22" t="s">
        <v>38</v>
      </c>
      <c r="C576" s="18" t="s">
        <v>19</v>
      </c>
      <c r="D576" s="18">
        <v>1</v>
      </c>
      <c r="E576" s="18" t="s">
        <v>21</v>
      </c>
      <c r="F576" s="18" t="s">
        <v>24</v>
      </c>
      <c r="G576" s="18" t="s">
        <v>27</v>
      </c>
      <c r="H576" s="18">
        <v>1082</v>
      </c>
      <c r="I576" s="22" t="s">
        <v>46</v>
      </c>
      <c r="J576" s="18">
        <v>9</v>
      </c>
      <c r="K576" s="18" t="s">
        <v>11</v>
      </c>
      <c r="L576" s="18">
        <v>1</v>
      </c>
      <c r="M576" s="22" t="s">
        <v>34</v>
      </c>
    </row>
    <row r="577" spans="1:13" x14ac:dyDescent="0.35">
      <c r="A577" s="18">
        <v>24</v>
      </c>
      <c r="B577" s="22" t="s">
        <v>38</v>
      </c>
      <c r="C577" s="18" t="s">
        <v>20</v>
      </c>
      <c r="D577" s="18">
        <v>2</v>
      </c>
      <c r="E577" s="18" t="s">
        <v>21</v>
      </c>
      <c r="F577" s="18" t="s">
        <v>24</v>
      </c>
      <c r="G577" s="18" t="s">
        <v>10</v>
      </c>
      <c r="H577" s="18">
        <v>2788</v>
      </c>
      <c r="I577" s="22" t="s">
        <v>43</v>
      </c>
      <c r="J577" s="18">
        <v>15</v>
      </c>
      <c r="K577" s="18" t="s">
        <v>13</v>
      </c>
      <c r="L577" s="18">
        <v>1</v>
      </c>
      <c r="M577" s="22" t="s">
        <v>34</v>
      </c>
    </row>
    <row r="578" spans="1:13" x14ac:dyDescent="0.35">
      <c r="A578" s="18">
        <v>27</v>
      </c>
      <c r="B578" s="22" t="s">
        <v>38</v>
      </c>
      <c r="C578" s="18" t="s">
        <v>20</v>
      </c>
      <c r="D578" s="18">
        <v>2</v>
      </c>
      <c r="E578" s="18" t="s">
        <v>21</v>
      </c>
      <c r="F578" s="18" t="s">
        <v>24</v>
      </c>
      <c r="G578" s="18" t="s">
        <v>27</v>
      </c>
      <c r="H578" s="18">
        <v>2930</v>
      </c>
      <c r="I578" s="22" t="s">
        <v>43</v>
      </c>
      <c r="J578" s="18">
        <v>12</v>
      </c>
      <c r="K578" s="18" t="s">
        <v>11</v>
      </c>
      <c r="L578" s="18">
        <v>1</v>
      </c>
      <c r="M578" s="22" t="s">
        <v>34</v>
      </c>
    </row>
    <row r="579" spans="1:13" x14ac:dyDescent="0.35">
      <c r="A579" s="18">
        <v>33</v>
      </c>
      <c r="B579" s="22" t="s">
        <v>39</v>
      </c>
      <c r="C579" s="18" t="s">
        <v>20</v>
      </c>
      <c r="D579" s="18">
        <v>2</v>
      </c>
      <c r="E579" s="18" t="s">
        <v>21</v>
      </c>
      <c r="F579" s="18" t="s">
        <v>10</v>
      </c>
      <c r="G579" s="18" t="s">
        <v>10</v>
      </c>
      <c r="H579" s="18">
        <v>1927</v>
      </c>
      <c r="I579" s="22" t="s">
        <v>46</v>
      </c>
      <c r="J579" s="18">
        <v>24</v>
      </c>
      <c r="K579" s="18" t="s">
        <v>12</v>
      </c>
      <c r="L579" s="18">
        <v>1</v>
      </c>
      <c r="M579" s="22" t="s">
        <v>34</v>
      </c>
    </row>
    <row r="580" spans="1:13" x14ac:dyDescent="0.35">
      <c r="A580" s="18">
        <v>27</v>
      </c>
      <c r="B580" s="22" t="s">
        <v>38</v>
      </c>
      <c r="C580" s="18" t="s">
        <v>19</v>
      </c>
      <c r="D580" s="18">
        <v>2</v>
      </c>
      <c r="E580" s="18" t="s">
        <v>21</v>
      </c>
      <c r="F580" s="18" t="s">
        <v>24</v>
      </c>
      <c r="G580" s="18" t="s">
        <v>27</v>
      </c>
      <c r="H580" s="18">
        <v>2820</v>
      </c>
      <c r="I580" s="22" t="s">
        <v>43</v>
      </c>
      <c r="J580" s="18">
        <v>36</v>
      </c>
      <c r="K580" s="18" t="s">
        <v>14</v>
      </c>
      <c r="L580" s="18">
        <v>2</v>
      </c>
      <c r="M580" s="22" t="s">
        <v>45</v>
      </c>
    </row>
    <row r="581" spans="1:13" x14ac:dyDescent="0.35">
      <c r="A581" s="18">
        <v>27</v>
      </c>
      <c r="B581" s="22" t="s">
        <v>38</v>
      </c>
      <c r="C581" s="18" t="s">
        <v>19</v>
      </c>
      <c r="D581" s="18">
        <v>1</v>
      </c>
      <c r="E581" s="18" t="s">
        <v>21</v>
      </c>
      <c r="F581" s="18" t="s">
        <v>24</v>
      </c>
      <c r="G581" s="18" t="s">
        <v>10</v>
      </c>
      <c r="H581" s="18">
        <v>937</v>
      </c>
      <c r="I581" s="22" t="s">
        <v>46</v>
      </c>
      <c r="J581" s="18">
        <v>24</v>
      </c>
      <c r="K581" s="18" t="s">
        <v>12</v>
      </c>
      <c r="L581" s="18">
        <v>1</v>
      </c>
      <c r="M581" s="22" t="s">
        <v>34</v>
      </c>
    </row>
    <row r="582" spans="1:13" x14ac:dyDescent="0.35">
      <c r="A582" s="18">
        <v>30</v>
      </c>
      <c r="B582" s="22" t="s">
        <v>39</v>
      </c>
      <c r="C582" s="18" t="s">
        <v>19</v>
      </c>
      <c r="D582" s="18">
        <v>2</v>
      </c>
      <c r="E582" s="18" t="s">
        <v>21</v>
      </c>
      <c r="F582" s="18" t="s">
        <v>24</v>
      </c>
      <c r="G582" s="18" t="s">
        <v>27</v>
      </c>
      <c r="H582" s="18">
        <v>1056</v>
      </c>
      <c r="I582" s="22" t="s">
        <v>46</v>
      </c>
      <c r="J582" s="18">
        <v>18</v>
      </c>
      <c r="K582" s="18" t="s">
        <v>14</v>
      </c>
      <c r="L582" s="18">
        <v>2</v>
      </c>
      <c r="M582" s="22" t="s">
        <v>45</v>
      </c>
    </row>
    <row r="583" spans="1:13" x14ac:dyDescent="0.35">
      <c r="A583" s="18">
        <v>49</v>
      </c>
      <c r="B583" s="22" t="s">
        <v>39</v>
      </c>
      <c r="C583" s="18" t="s">
        <v>19</v>
      </c>
      <c r="D583" s="18">
        <v>1</v>
      </c>
      <c r="E583" s="18" t="s">
        <v>21</v>
      </c>
      <c r="F583" s="18" t="s">
        <v>24</v>
      </c>
      <c r="G583" s="18" t="s">
        <v>27</v>
      </c>
      <c r="H583" s="18">
        <v>3124</v>
      </c>
      <c r="I583" s="22" t="s">
        <v>43</v>
      </c>
      <c r="J583" s="18">
        <v>12</v>
      </c>
      <c r="K583" s="18" t="s">
        <v>14</v>
      </c>
      <c r="L583" s="18">
        <v>1</v>
      </c>
      <c r="M583" s="22" t="s">
        <v>34</v>
      </c>
    </row>
    <row r="584" spans="1:13" x14ac:dyDescent="0.35">
      <c r="A584" s="18">
        <v>26</v>
      </c>
      <c r="B584" s="22" t="s">
        <v>38</v>
      </c>
      <c r="C584" s="18" t="s">
        <v>20</v>
      </c>
      <c r="D584" s="18">
        <v>2</v>
      </c>
      <c r="E584" s="18" t="s">
        <v>23</v>
      </c>
      <c r="F584" s="18" t="s">
        <v>24</v>
      </c>
      <c r="G584" s="18" t="s">
        <v>10</v>
      </c>
      <c r="H584" s="18">
        <v>1388</v>
      </c>
      <c r="I584" s="22" t="s">
        <v>46</v>
      </c>
      <c r="J584" s="18">
        <v>9</v>
      </c>
      <c r="K584" s="18" t="s">
        <v>13</v>
      </c>
      <c r="L584" s="18">
        <v>1</v>
      </c>
      <c r="M584" s="22" t="s">
        <v>34</v>
      </c>
    </row>
    <row r="585" spans="1:13" x14ac:dyDescent="0.35">
      <c r="A585" s="18">
        <v>33</v>
      </c>
      <c r="B585" s="22" t="s">
        <v>39</v>
      </c>
      <c r="C585" s="18" t="s">
        <v>19</v>
      </c>
      <c r="D585" s="18">
        <v>1</v>
      </c>
      <c r="E585" s="18" t="s">
        <v>23</v>
      </c>
      <c r="F585" s="18" t="s">
        <v>24</v>
      </c>
      <c r="G585" s="18" t="s">
        <v>27</v>
      </c>
      <c r="H585" s="18">
        <v>2384</v>
      </c>
      <c r="I585" s="22" t="s">
        <v>43</v>
      </c>
      <c r="J585" s="18">
        <v>36</v>
      </c>
      <c r="K585" s="18" t="s">
        <v>17</v>
      </c>
      <c r="L585" s="18">
        <v>2</v>
      </c>
      <c r="M585" s="22" t="s">
        <v>45</v>
      </c>
    </row>
    <row r="586" spans="1:13" x14ac:dyDescent="0.35">
      <c r="A586" s="18">
        <v>52</v>
      </c>
      <c r="B586" s="22" t="s">
        <v>37</v>
      </c>
      <c r="C586" s="18" t="s">
        <v>20</v>
      </c>
      <c r="D586" s="18">
        <v>3</v>
      </c>
      <c r="E586" s="18" t="s">
        <v>22</v>
      </c>
      <c r="F586" s="18" t="s">
        <v>10</v>
      </c>
      <c r="G586" s="18" t="s">
        <v>10</v>
      </c>
      <c r="H586" s="18">
        <v>2133</v>
      </c>
      <c r="I586" s="22" t="s">
        <v>43</v>
      </c>
      <c r="J586" s="18">
        <v>12</v>
      </c>
      <c r="K586" s="18" t="s">
        <v>14</v>
      </c>
      <c r="L586" s="18">
        <v>1</v>
      </c>
      <c r="M586" s="22" t="s">
        <v>34</v>
      </c>
    </row>
    <row r="587" spans="1:13" x14ac:dyDescent="0.35">
      <c r="A587" s="18">
        <v>20</v>
      </c>
      <c r="B587" s="22" t="s">
        <v>38</v>
      </c>
      <c r="C587" s="18" t="s">
        <v>20</v>
      </c>
      <c r="D587" s="18">
        <v>2</v>
      </c>
      <c r="E587" s="18" t="s">
        <v>23</v>
      </c>
      <c r="F587" s="18" t="s">
        <v>24</v>
      </c>
      <c r="G587" s="18" t="s">
        <v>24</v>
      </c>
      <c r="H587" s="18">
        <v>2039</v>
      </c>
      <c r="I587" s="22" t="s">
        <v>43</v>
      </c>
      <c r="J587" s="18">
        <v>18</v>
      </c>
      <c r="K587" s="18" t="s">
        <v>13</v>
      </c>
      <c r="L587" s="18">
        <v>2</v>
      </c>
      <c r="M587" s="22" t="s">
        <v>45</v>
      </c>
    </row>
    <row r="588" spans="1:13" x14ac:dyDescent="0.35">
      <c r="A588" s="18">
        <v>36</v>
      </c>
      <c r="B588" s="22" t="s">
        <v>39</v>
      </c>
      <c r="C588" s="18" t="s">
        <v>19</v>
      </c>
      <c r="D588" s="18">
        <v>2</v>
      </c>
      <c r="E588" s="18" t="s">
        <v>23</v>
      </c>
      <c r="F588" s="18" t="s">
        <v>24</v>
      </c>
      <c r="G588" s="18" t="s">
        <v>24</v>
      </c>
      <c r="H588" s="18">
        <v>2799</v>
      </c>
      <c r="I588" s="22" t="s">
        <v>43</v>
      </c>
      <c r="J588" s="18">
        <v>9</v>
      </c>
      <c r="K588" s="18" t="s">
        <v>14</v>
      </c>
      <c r="L588" s="18">
        <v>1</v>
      </c>
      <c r="M588" s="22" t="s">
        <v>34</v>
      </c>
    </row>
    <row r="589" spans="1:13" x14ac:dyDescent="0.35">
      <c r="A589" s="18">
        <v>21</v>
      </c>
      <c r="B589" s="22" t="s">
        <v>38</v>
      </c>
      <c r="C589" s="18" t="s">
        <v>19</v>
      </c>
      <c r="D589" s="18">
        <v>1</v>
      </c>
      <c r="E589" s="18" t="s">
        <v>21</v>
      </c>
      <c r="F589" s="18" t="s">
        <v>24</v>
      </c>
      <c r="G589" s="18" t="s">
        <v>24</v>
      </c>
      <c r="H589" s="18">
        <v>1289</v>
      </c>
      <c r="I589" s="22" t="s">
        <v>46</v>
      </c>
      <c r="J589" s="18">
        <v>12</v>
      </c>
      <c r="K589" s="18" t="s">
        <v>13</v>
      </c>
      <c r="L589" s="18">
        <v>1</v>
      </c>
      <c r="M589" s="22" t="s">
        <v>34</v>
      </c>
    </row>
    <row r="590" spans="1:13" x14ac:dyDescent="0.35">
      <c r="A590" s="18">
        <v>47</v>
      </c>
      <c r="B590" s="22" t="s">
        <v>39</v>
      </c>
      <c r="C590" s="18" t="s">
        <v>19</v>
      </c>
      <c r="D590" s="18">
        <v>1</v>
      </c>
      <c r="E590" s="18" t="s">
        <v>21</v>
      </c>
      <c r="F590" s="18" t="s">
        <v>24</v>
      </c>
      <c r="G590" s="18" t="s">
        <v>24</v>
      </c>
      <c r="H590" s="18">
        <v>1217</v>
      </c>
      <c r="I590" s="22" t="s">
        <v>46</v>
      </c>
      <c r="J590" s="18">
        <v>18</v>
      </c>
      <c r="K590" s="18" t="s">
        <v>16</v>
      </c>
      <c r="L590" s="18">
        <v>2</v>
      </c>
      <c r="M590" s="22" t="s">
        <v>45</v>
      </c>
    </row>
    <row r="591" spans="1:13" x14ac:dyDescent="0.35">
      <c r="A591" s="18">
        <v>60</v>
      </c>
      <c r="B591" s="22" t="s">
        <v>37</v>
      </c>
      <c r="C591" s="18" t="s">
        <v>19</v>
      </c>
      <c r="D591" s="18">
        <v>2</v>
      </c>
      <c r="E591" s="18" t="s">
        <v>21</v>
      </c>
      <c r="F591" s="18" t="s">
        <v>24</v>
      </c>
      <c r="G591" s="18" t="s">
        <v>24</v>
      </c>
      <c r="H591" s="18">
        <v>2246</v>
      </c>
      <c r="I591" s="22" t="s">
        <v>43</v>
      </c>
      <c r="J591" s="18">
        <v>12</v>
      </c>
      <c r="K591" s="18" t="s">
        <v>13</v>
      </c>
      <c r="L591" s="18">
        <v>2</v>
      </c>
      <c r="M591" s="22" t="s">
        <v>45</v>
      </c>
    </row>
    <row r="592" spans="1:13" x14ac:dyDescent="0.35">
      <c r="A592" s="18">
        <v>58</v>
      </c>
      <c r="B592" s="22" t="s">
        <v>37</v>
      </c>
      <c r="C592" s="18" t="s">
        <v>20</v>
      </c>
      <c r="D592" s="18">
        <v>1</v>
      </c>
      <c r="E592" s="18" t="s">
        <v>21</v>
      </c>
      <c r="F592" s="18" t="s">
        <v>24</v>
      </c>
      <c r="G592" s="18" t="s">
        <v>24</v>
      </c>
      <c r="H592" s="18">
        <v>385</v>
      </c>
      <c r="I592" s="22" t="s">
        <v>46</v>
      </c>
      <c r="J592" s="18">
        <v>12</v>
      </c>
      <c r="K592" s="18" t="s">
        <v>11</v>
      </c>
      <c r="L592" s="18">
        <v>1</v>
      </c>
      <c r="M592" s="22" t="s">
        <v>34</v>
      </c>
    </row>
    <row r="593" spans="1:13" x14ac:dyDescent="0.35">
      <c r="A593" s="18">
        <v>42</v>
      </c>
      <c r="B593" s="22" t="s">
        <v>39</v>
      </c>
      <c r="C593" s="18" t="s">
        <v>20</v>
      </c>
      <c r="D593" s="18">
        <v>2</v>
      </c>
      <c r="E593" s="18" t="s">
        <v>23</v>
      </c>
      <c r="F593" s="18" t="s">
        <v>10</v>
      </c>
      <c r="G593" s="18" t="s">
        <v>27</v>
      </c>
      <c r="H593" s="18">
        <v>1965</v>
      </c>
      <c r="I593" s="22" t="s">
        <v>46</v>
      </c>
      <c r="J593" s="18">
        <v>24</v>
      </c>
      <c r="K593" s="18" t="s">
        <v>14</v>
      </c>
      <c r="L593" s="18">
        <v>1</v>
      </c>
      <c r="M593" s="22" t="s">
        <v>34</v>
      </c>
    </row>
    <row r="594" spans="1:13" x14ac:dyDescent="0.35">
      <c r="A594" s="18">
        <v>36</v>
      </c>
      <c r="B594" s="22" t="s">
        <v>39</v>
      </c>
      <c r="C594" s="18" t="s">
        <v>20</v>
      </c>
      <c r="D594" s="18">
        <v>1</v>
      </c>
      <c r="E594" s="18" t="s">
        <v>21</v>
      </c>
      <c r="F594" s="18" t="s">
        <v>26</v>
      </c>
      <c r="G594" s="18" t="s">
        <v>10</v>
      </c>
      <c r="H594" s="18">
        <v>1572</v>
      </c>
      <c r="I594" s="22" t="s">
        <v>46</v>
      </c>
      <c r="J594" s="18">
        <v>21</v>
      </c>
      <c r="K594" s="18" t="s">
        <v>15</v>
      </c>
      <c r="L594" s="18">
        <v>1</v>
      </c>
      <c r="M594" s="22" t="s">
        <v>34</v>
      </c>
    </row>
    <row r="595" spans="1:13" x14ac:dyDescent="0.35">
      <c r="A595" s="18">
        <v>20</v>
      </c>
      <c r="B595" s="22" t="s">
        <v>38</v>
      </c>
      <c r="C595" s="18" t="s">
        <v>20</v>
      </c>
      <c r="D595" s="18">
        <v>1</v>
      </c>
      <c r="E595" s="18" t="s">
        <v>23</v>
      </c>
      <c r="F595" s="18" t="s">
        <v>24</v>
      </c>
      <c r="G595" s="18" t="s">
        <v>27</v>
      </c>
      <c r="H595" s="18">
        <v>2718</v>
      </c>
      <c r="I595" s="22" t="s">
        <v>43</v>
      </c>
      <c r="J595" s="18">
        <v>24</v>
      </c>
      <c r="K595" s="18" t="s">
        <v>14</v>
      </c>
      <c r="L595" s="18">
        <v>2</v>
      </c>
      <c r="M595" s="22" t="s">
        <v>45</v>
      </c>
    </row>
    <row r="596" spans="1:13" x14ac:dyDescent="0.35">
      <c r="A596" s="18">
        <v>40</v>
      </c>
      <c r="B596" s="22" t="s">
        <v>39</v>
      </c>
      <c r="C596" s="18" t="s">
        <v>19</v>
      </c>
      <c r="D596" s="18">
        <v>3</v>
      </c>
      <c r="E596" s="18" t="s">
        <v>21</v>
      </c>
      <c r="F596" s="18" t="s">
        <v>10</v>
      </c>
      <c r="G596" s="18" t="s">
        <v>24</v>
      </c>
      <c r="H596" s="18">
        <v>1358</v>
      </c>
      <c r="I596" s="22" t="s">
        <v>46</v>
      </c>
      <c r="J596" s="18">
        <v>24</v>
      </c>
      <c r="K596" s="18" t="s">
        <v>18</v>
      </c>
      <c r="L596" s="18">
        <v>2</v>
      </c>
      <c r="M596" s="22" t="s">
        <v>45</v>
      </c>
    </row>
    <row r="597" spans="1:13" x14ac:dyDescent="0.35">
      <c r="A597" s="18">
        <v>32</v>
      </c>
      <c r="B597" s="22" t="s">
        <v>39</v>
      </c>
      <c r="C597" s="18" t="s">
        <v>20</v>
      </c>
      <c r="D597" s="18">
        <v>1</v>
      </c>
      <c r="E597" s="18" t="s">
        <v>21</v>
      </c>
      <c r="F597" s="18" t="s">
        <v>27</v>
      </c>
      <c r="G597" s="18" t="s">
        <v>27</v>
      </c>
      <c r="H597" s="18">
        <v>931</v>
      </c>
      <c r="I597" s="22" t="s">
        <v>46</v>
      </c>
      <c r="J597" s="18">
        <v>6</v>
      </c>
      <c r="K597" s="18" t="s">
        <v>14</v>
      </c>
      <c r="L597" s="18">
        <v>2</v>
      </c>
      <c r="M597" s="22" t="s">
        <v>45</v>
      </c>
    </row>
    <row r="598" spans="1:13" x14ac:dyDescent="0.35">
      <c r="A598" s="18">
        <v>23</v>
      </c>
      <c r="B598" s="22" t="s">
        <v>38</v>
      </c>
      <c r="C598" s="18" t="s">
        <v>20</v>
      </c>
      <c r="D598" s="18">
        <v>2</v>
      </c>
      <c r="E598" s="18" t="s">
        <v>23</v>
      </c>
      <c r="F598" s="18" t="s">
        <v>24</v>
      </c>
      <c r="G598" s="18" t="s">
        <v>24</v>
      </c>
      <c r="H598" s="18">
        <v>1442</v>
      </c>
      <c r="I598" s="22" t="s">
        <v>46</v>
      </c>
      <c r="J598" s="18">
        <v>24</v>
      </c>
      <c r="K598" s="18" t="s">
        <v>14</v>
      </c>
      <c r="L598" s="18">
        <v>2</v>
      </c>
      <c r="M598" s="22" t="s">
        <v>45</v>
      </c>
    </row>
    <row r="599" spans="1:13" x14ac:dyDescent="0.35">
      <c r="A599" s="18">
        <v>36</v>
      </c>
      <c r="B599" s="22" t="s">
        <v>39</v>
      </c>
      <c r="C599" s="18" t="s">
        <v>19</v>
      </c>
      <c r="D599" s="18">
        <v>1</v>
      </c>
      <c r="E599" s="18" t="s">
        <v>21</v>
      </c>
      <c r="F599" s="18" t="s">
        <v>24</v>
      </c>
      <c r="G599" s="18" t="s">
        <v>27</v>
      </c>
      <c r="H599" s="18">
        <v>4241</v>
      </c>
      <c r="I599" s="22" t="s">
        <v>43</v>
      </c>
      <c r="J599" s="18">
        <v>24</v>
      </c>
      <c r="K599" s="18" t="s">
        <v>15</v>
      </c>
      <c r="L599" s="18">
        <v>2</v>
      </c>
      <c r="M599" s="22" t="s">
        <v>45</v>
      </c>
    </row>
    <row r="600" spans="1:13" x14ac:dyDescent="0.35">
      <c r="A600" s="18">
        <v>31</v>
      </c>
      <c r="B600" s="22" t="s">
        <v>39</v>
      </c>
      <c r="C600" s="18" t="s">
        <v>19</v>
      </c>
      <c r="D600" s="18">
        <v>2</v>
      </c>
      <c r="E600" s="18" t="s">
        <v>21</v>
      </c>
      <c r="F600" s="18" t="s">
        <v>24</v>
      </c>
      <c r="G600" s="18" t="s">
        <v>10</v>
      </c>
      <c r="H600" s="18">
        <v>2775</v>
      </c>
      <c r="I600" s="22" t="s">
        <v>43</v>
      </c>
      <c r="J600" s="18">
        <v>18</v>
      </c>
      <c r="K600" s="18" t="s">
        <v>14</v>
      </c>
      <c r="L600" s="18">
        <v>2</v>
      </c>
      <c r="M600" s="22" t="s">
        <v>45</v>
      </c>
    </row>
    <row r="601" spans="1:13" x14ac:dyDescent="0.35">
      <c r="A601" s="18">
        <v>32</v>
      </c>
      <c r="B601" s="22" t="s">
        <v>39</v>
      </c>
      <c r="C601" s="18" t="s">
        <v>19</v>
      </c>
      <c r="D601" s="18">
        <v>2</v>
      </c>
      <c r="E601" s="18" t="s">
        <v>22</v>
      </c>
      <c r="F601" s="18" t="s">
        <v>24</v>
      </c>
      <c r="G601" s="18" t="s">
        <v>10</v>
      </c>
      <c r="H601" s="18">
        <v>3863</v>
      </c>
      <c r="I601" s="22" t="s">
        <v>43</v>
      </c>
      <c r="J601" s="18">
        <v>24</v>
      </c>
      <c r="K601" s="18" t="s">
        <v>15</v>
      </c>
      <c r="L601" s="18">
        <v>1</v>
      </c>
      <c r="M601" s="22" t="s">
        <v>34</v>
      </c>
    </row>
    <row r="602" spans="1:13" x14ac:dyDescent="0.35">
      <c r="A602" s="18">
        <v>45</v>
      </c>
      <c r="B602" s="22" t="s">
        <v>39</v>
      </c>
      <c r="C602" s="18" t="s">
        <v>20</v>
      </c>
      <c r="D602" s="18">
        <v>2</v>
      </c>
      <c r="E602" s="18" t="s">
        <v>21</v>
      </c>
      <c r="F602" s="18" t="s">
        <v>24</v>
      </c>
      <c r="G602" s="18" t="s">
        <v>27</v>
      </c>
      <c r="H602" s="18">
        <v>2329</v>
      </c>
      <c r="I602" s="22" t="s">
        <v>43</v>
      </c>
      <c r="J602" s="18">
        <v>7</v>
      </c>
      <c r="K602" s="18" t="s">
        <v>11</v>
      </c>
      <c r="L602" s="18">
        <v>1</v>
      </c>
      <c r="M602" s="22" t="s">
        <v>34</v>
      </c>
    </row>
    <row r="603" spans="1:13" x14ac:dyDescent="0.35">
      <c r="A603" s="18">
        <v>30</v>
      </c>
      <c r="B603" s="22" t="s">
        <v>39</v>
      </c>
      <c r="C603" s="18" t="s">
        <v>20</v>
      </c>
      <c r="D603" s="18">
        <v>2</v>
      </c>
      <c r="E603" s="18" t="s">
        <v>21</v>
      </c>
      <c r="F603" s="18" t="s">
        <v>24</v>
      </c>
      <c r="G603" s="18" t="s">
        <v>27</v>
      </c>
      <c r="H603" s="18">
        <v>918</v>
      </c>
      <c r="I603" s="22" t="s">
        <v>46</v>
      </c>
      <c r="J603" s="18">
        <v>9</v>
      </c>
      <c r="K603" s="18" t="s">
        <v>13</v>
      </c>
      <c r="L603" s="18">
        <v>2</v>
      </c>
      <c r="M603" s="22" t="s">
        <v>45</v>
      </c>
    </row>
    <row r="604" spans="1:13" x14ac:dyDescent="0.35">
      <c r="A604" s="18">
        <v>34</v>
      </c>
      <c r="B604" s="22" t="s">
        <v>39</v>
      </c>
      <c r="C604" s="18" t="s">
        <v>20</v>
      </c>
      <c r="D604" s="18">
        <v>1</v>
      </c>
      <c r="E604" s="18" t="s">
        <v>22</v>
      </c>
      <c r="F604" s="18" t="s">
        <v>24</v>
      </c>
      <c r="G604" s="18" t="s">
        <v>27</v>
      </c>
      <c r="H604" s="18">
        <v>1837</v>
      </c>
      <c r="I604" s="22" t="s">
        <v>46</v>
      </c>
      <c r="J604" s="18">
        <v>24</v>
      </c>
      <c r="K604" s="18" t="s">
        <v>12</v>
      </c>
      <c r="L604" s="18">
        <v>2</v>
      </c>
      <c r="M604" s="22" t="s">
        <v>45</v>
      </c>
    </row>
    <row r="605" spans="1:13" x14ac:dyDescent="0.35">
      <c r="A605" s="18">
        <v>28</v>
      </c>
      <c r="B605" s="22" t="s">
        <v>38</v>
      </c>
      <c r="C605" s="18" t="s">
        <v>20</v>
      </c>
      <c r="D605" s="18">
        <v>3</v>
      </c>
      <c r="E605" s="18" t="s">
        <v>21</v>
      </c>
      <c r="F605" s="18" t="s">
        <v>24</v>
      </c>
      <c r="G605" s="18" t="s">
        <v>10</v>
      </c>
      <c r="H605" s="18">
        <v>3349</v>
      </c>
      <c r="I605" s="22" t="s">
        <v>43</v>
      </c>
      <c r="J605" s="18">
        <v>36</v>
      </c>
      <c r="K605" s="18" t="s">
        <v>13</v>
      </c>
      <c r="L605" s="18">
        <v>2</v>
      </c>
      <c r="M605" s="22" t="s">
        <v>45</v>
      </c>
    </row>
    <row r="606" spans="1:13" x14ac:dyDescent="0.35">
      <c r="A606" s="18">
        <v>23</v>
      </c>
      <c r="B606" s="22" t="s">
        <v>38</v>
      </c>
      <c r="C606" s="18" t="s">
        <v>20</v>
      </c>
      <c r="D606" s="18">
        <v>2</v>
      </c>
      <c r="E606" s="18" t="s">
        <v>21</v>
      </c>
      <c r="F606" s="18" t="s">
        <v>24</v>
      </c>
      <c r="G606" s="18" t="s">
        <v>26</v>
      </c>
      <c r="H606" s="18">
        <v>1275</v>
      </c>
      <c r="I606" s="22" t="s">
        <v>46</v>
      </c>
      <c r="J606" s="18">
        <v>10</v>
      </c>
      <c r="K606" s="18" t="s">
        <v>13</v>
      </c>
      <c r="L606" s="18">
        <v>1</v>
      </c>
      <c r="M606" s="22" t="s">
        <v>34</v>
      </c>
    </row>
    <row r="607" spans="1:13" x14ac:dyDescent="0.35">
      <c r="A607" s="18">
        <v>22</v>
      </c>
      <c r="B607" s="22" t="s">
        <v>38</v>
      </c>
      <c r="C607" s="18" t="s">
        <v>19</v>
      </c>
      <c r="D607" s="18">
        <v>2</v>
      </c>
      <c r="E607" s="18" t="s">
        <v>21</v>
      </c>
      <c r="F607" s="18" t="s">
        <v>25</v>
      </c>
      <c r="G607" s="18" t="s">
        <v>24</v>
      </c>
      <c r="H607" s="18">
        <v>2828</v>
      </c>
      <c r="I607" s="22" t="s">
        <v>43</v>
      </c>
      <c r="J607" s="18">
        <v>24</v>
      </c>
      <c r="K607" s="18" t="s">
        <v>13</v>
      </c>
      <c r="L607" s="18">
        <v>1</v>
      </c>
      <c r="M607" s="22" t="s">
        <v>34</v>
      </c>
    </row>
    <row r="608" spans="1:13" x14ac:dyDescent="0.35">
      <c r="A608" s="18">
        <v>74</v>
      </c>
      <c r="B608" s="22" t="s">
        <v>37</v>
      </c>
      <c r="C608" s="18" t="s">
        <v>19</v>
      </c>
      <c r="D608" s="18">
        <v>3</v>
      </c>
      <c r="E608" s="18" t="s">
        <v>21</v>
      </c>
      <c r="F608" s="18" t="s">
        <v>24</v>
      </c>
      <c r="G608" s="18" t="s">
        <v>10</v>
      </c>
      <c r="H608" s="18">
        <v>4526</v>
      </c>
      <c r="I608" s="22" t="s">
        <v>43</v>
      </c>
      <c r="J608" s="18">
        <v>24</v>
      </c>
      <c r="K608" s="18" t="s">
        <v>15</v>
      </c>
      <c r="L608" s="18">
        <v>1</v>
      </c>
      <c r="M608" s="22" t="s">
        <v>34</v>
      </c>
    </row>
    <row r="609" spans="1:13" x14ac:dyDescent="0.35">
      <c r="A609" s="18">
        <v>50</v>
      </c>
      <c r="B609" s="22" t="s">
        <v>37</v>
      </c>
      <c r="C609" s="18" t="s">
        <v>20</v>
      </c>
      <c r="D609" s="18">
        <v>2</v>
      </c>
      <c r="E609" s="18" t="s">
        <v>22</v>
      </c>
      <c r="F609" s="18" t="s">
        <v>27</v>
      </c>
      <c r="G609" s="18" t="s">
        <v>27</v>
      </c>
      <c r="H609" s="18">
        <v>2671</v>
      </c>
      <c r="I609" s="22" t="s">
        <v>43</v>
      </c>
      <c r="J609" s="18">
        <v>36</v>
      </c>
      <c r="K609" s="18" t="s">
        <v>11</v>
      </c>
      <c r="L609" s="18">
        <v>2</v>
      </c>
      <c r="M609" s="22" t="s">
        <v>45</v>
      </c>
    </row>
    <row r="610" spans="1:13" x14ac:dyDescent="0.35">
      <c r="A610" s="18">
        <v>33</v>
      </c>
      <c r="B610" s="22" t="s">
        <v>39</v>
      </c>
      <c r="C610" s="18" t="s">
        <v>19</v>
      </c>
      <c r="D610" s="18">
        <v>2</v>
      </c>
      <c r="E610" s="18" t="s">
        <v>21</v>
      </c>
      <c r="F610" s="18" t="s">
        <v>24</v>
      </c>
      <c r="G610" s="18" t="s">
        <v>10</v>
      </c>
      <c r="H610" s="18">
        <v>2051</v>
      </c>
      <c r="I610" s="22" t="s">
        <v>43</v>
      </c>
      <c r="J610" s="18">
        <v>18</v>
      </c>
      <c r="K610" s="18" t="s">
        <v>11</v>
      </c>
      <c r="L610" s="18">
        <v>1</v>
      </c>
      <c r="M610" s="22" t="s">
        <v>34</v>
      </c>
    </row>
    <row r="611" spans="1:13" x14ac:dyDescent="0.35">
      <c r="A611" s="18">
        <v>45</v>
      </c>
      <c r="B611" s="22" t="s">
        <v>39</v>
      </c>
      <c r="C611" s="18" t="s">
        <v>19</v>
      </c>
      <c r="D611" s="18">
        <v>2</v>
      </c>
      <c r="E611" s="18" t="s">
        <v>22</v>
      </c>
      <c r="F611" s="18" t="s">
        <v>10</v>
      </c>
      <c r="G611" s="18" t="s">
        <v>10</v>
      </c>
      <c r="H611" s="18">
        <v>1300</v>
      </c>
      <c r="I611" s="22" t="s">
        <v>46</v>
      </c>
      <c r="J611" s="18">
        <v>15</v>
      </c>
      <c r="K611" s="18" t="s">
        <v>14</v>
      </c>
      <c r="L611" s="18">
        <v>1</v>
      </c>
      <c r="M611" s="22" t="s">
        <v>34</v>
      </c>
    </row>
    <row r="612" spans="1:13" x14ac:dyDescent="0.35">
      <c r="A612" s="18">
        <v>22</v>
      </c>
      <c r="B612" s="22" t="s">
        <v>38</v>
      </c>
      <c r="C612" s="18" t="s">
        <v>20</v>
      </c>
      <c r="D612" s="18">
        <v>2</v>
      </c>
      <c r="E612" s="18" t="s">
        <v>21</v>
      </c>
      <c r="F612" s="18" t="s">
        <v>27</v>
      </c>
      <c r="G612" s="18" t="s">
        <v>24</v>
      </c>
      <c r="H612" s="18">
        <v>741</v>
      </c>
      <c r="I612" s="22" t="s">
        <v>46</v>
      </c>
      <c r="J612" s="18">
        <v>12</v>
      </c>
      <c r="K612" s="18" t="s">
        <v>16</v>
      </c>
      <c r="L612" s="18">
        <v>2</v>
      </c>
      <c r="M612" s="22" t="s">
        <v>45</v>
      </c>
    </row>
    <row r="613" spans="1:13" x14ac:dyDescent="0.35">
      <c r="A613" s="18">
        <v>48</v>
      </c>
      <c r="B613" s="22" t="s">
        <v>39</v>
      </c>
      <c r="C613" s="18" t="s">
        <v>20</v>
      </c>
      <c r="D613" s="18">
        <v>1</v>
      </c>
      <c r="E613" s="18" t="s">
        <v>22</v>
      </c>
      <c r="F613" s="18" t="s">
        <v>27</v>
      </c>
      <c r="G613" s="18" t="s">
        <v>26</v>
      </c>
      <c r="H613" s="18">
        <v>1240</v>
      </c>
      <c r="I613" s="22" t="s">
        <v>46</v>
      </c>
      <c r="J613" s="18">
        <v>10</v>
      </c>
      <c r="K613" s="18" t="s">
        <v>14</v>
      </c>
      <c r="L613" s="18">
        <v>2</v>
      </c>
      <c r="M613" s="22" t="s">
        <v>45</v>
      </c>
    </row>
    <row r="614" spans="1:13" x14ac:dyDescent="0.35">
      <c r="A614" s="18">
        <v>29</v>
      </c>
      <c r="B614" s="22" t="s">
        <v>38</v>
      </c>
      <c r="C614" s="18" t="s">
        <v>20</v>
      </c>
      <c r="D614" s="18">
        <v>2</v>
      </c>
      <c r="E614" s="18" t="s">
        <v>21</v>
      </c>
      <c r="F614" s="18" t="s">
        <v>26</v>
      </c>
      <c r="G614" s="18" t="s">
        <v>24</v>
      </c>
      <c r="H614" s="18">
        <v>3357</v>
      </c>
      <c r="I614" s="22" t="s">
        <v>43</v>
      </c>
      <c r="J614" s="18">
        <v>21</v>
      </c>
      <c r="K614" s="18" t="s">
        <v>11</v>
      </c>
      <c r="L614" s="18">
        <v>1</v>
      </c>
      <c r="M614" s="22" t="s">
        <v>34</v>
      </c>
    </row>
    <row r="615" spans="1:13" x14ac:dyDescent="0.35">
      <c r="A615" s="18">
        <v>22</v>
      </c>
      <c r="B615" s="22" t="s">
        <v>38</v>
      </c>
      <c r="C615" s="18" t="s">
        <v>20</v>
      </c>
      <c r="D615" s="18">
        <v>2</v>
      </c>
      <c r="E615" s="18" t="s">
        <v>23</v>
      </c>
      <c r="F615" s="18" t="s">
        <v>24</v>
      </c>
      <c r="G615" s="18" t="s">
        <v>24</v>
      </c>
      <c r="H615" s="18">
        <v>3632</v>
      </c>
      <c r="I615" s="22" t="s">
        <v>43</v>
      </c>
      <c r="J615" s="18">
        <v>24</v>
      </c>
      <c r="K615" s="18" t="s">
        <v>14</v>
      </c>
      <c r="L615" s="18">
        <v>1</v>
      </c>
      <c r="M615" s="22" t="s">
        <v>34</v>
      </c>
    </row>
    <row r="616" spans="1:13" x14ac:dyDescent="0.35">
      <c r="A616" s="18">
        <v>22</v>
      </c>
      <c r="B616" s="22" t="s">
        <v>38</v>
      </c>
      <c r="C616" s="18" t="s">
        <v>20</v>
      </c>
      <c r="D616" s="18">
        <v>2</v>
      </c>
      <c r="E616" s="18" t="s">
        <v>21</v>
      </c>
      <c r="F616" s="18" t="s">
        <v>24</v>
      </c>
      <c r="G616" s="18" t="s">
        <v>10</v>
      </c>
      <c r="H616" s="18">
        <v>1808</v>
      </c>
      <c r="I616" s="22" t="s">
        <v>46</v>
      </c>
      <c r="J616" s="18">
        <v>18</v>
      </c>
      <c r="K616" s="18" t="s">
        <v>13</v>
      </c>
      <c r="L616" s="18">
        <v>2</v>
      </c>
      <c r="M616" s="22" t="s">
        <v>45</v>
      </c>
    </row>
    <row r="617" spans="1:13" x14ac:dyDescent="0.35">
      <c r="A617" s="18">
        <v>48</v>
      </c>
      <c r="B617" s="22" t="s">
        <v>39</v>
      </c>
      <c r="C617" s="18" t="s">
        <v>19</v>
      </c>
      <c r="D617" s="18">
        <v>3</v>
      </c>
      <c r="E617" s="18" t="s">
        <v>21</v>
      </c>
      <c r="F617" s="18" t="s">
        <v>10</v>
      </c>
      <c r="G617" s="18" t="s">
        <v>27</v>
      </c>
      <c r="H617" s="18">
        <v>12204</v>
      </c>
      <c r="I617" s="22" t="s">
        <v>42</v>
      </c>
      <c r="J617" s="18">
        <v>48</v>
      </c>
      <c r="K617" s="18" t="s">
        <v>15</v>
      </c>
      <c r="L617" s="18">
        <v>1</v>
      </c>
      <c r="M617" s="22" t="s">
        <v>34</v>
      </c>
    </row>
    <row r="618" spans="1:13" x14ac:dyDescent="0.35">
      <c r="A618" s="18">
        <v>27</v>
      </c>
      <c r="B618" s="22" t="s">
        <v>38</v>
      </c>
      <c r="C618" s="18" t="s">
        <v>19</v>
      </c>
      <c r="D618" s="18">
        <v>3</v>
      </c>
      <c r="E618" s="18" t="s">
        <v>22</v>
      </c>
      <c r="F618" s="18" t="s">
        <v>10</v>
      </c>
      <c r="G618" s="18" t="s">
        <v>27</v>
      </c>
      <c r="H618" s="18">
        <v>9157</v>
      </c>
      <c r="I618" s="22" t="s">
        <v>42</v>
      </c>
      <c r="J618" s="18">
        <v>60</v>
      </c>
      <c r="K618" s="18" t="s">
        <v>11</v>
      </c>
      <c r="L618" s="18">
        <v>1</v>
      </c>
      <c r="M618" s="22" t="s">
        <v>34</v>
      </c>
    </row>
    <row r="619" spans="1:13" x14ac:dyDescent="0.35">
      <c r="A619" s="18">
        <v>37</v>
      </c>
      <c r="B619" s="22" t="s">
        <v>39</v>
      </c>
      <c r="C619" s="18" t="s">
        <v>19</v>
      </c>
      <c r="D619" s="18">
        <v>2</v>
      </c>
      <c r="E619" s="18" t="s">
        <v>23</v>
      </c>
      <c r="F619" s="18" t="s">
        <v>24</v>
      </c>
      <c r="G619" s="18" t="s">
        <v>24</v>
      </c>
      <c r="H619" s="18">
        <v>3676</v>
      </c>
      <c r="I619" s="22" t="s">
        <v>43</v>
      </c>
      <c r="J619" s="18">
        <v>6</v>
      </c>
      <c r="K619" s="18" t="s">
        <v>14</v>
      </c>
      <c r="L619" s="18">
        <v>1</v>
      </c>
      <c r="M619" s="22" t="s">
        <v>34</v>
      </c>
    </row>
    <row r="620" spans="1:13" x14ac:dyDescent="0.35">
      <c r="A620" s="18">
        <v>21</v>
      </c>
      <c r="B620" s="22" t="s">
        <v>38</v>
      </c>
      <c r="C620" s="18" t="s">
        <v>20</v>
      </c>
      <c r="D620" s="18">
        <v>2</v>
      </c>
      <c r="E620" s="18" t="s">
        <v>23</v>
      </c>
      <c r="F620" s="18" t="s">
        <v>27</v>
      </c>
      <c r="G620" s="18" t="s">
        <v>27</v>
      </c>
      <c r="H620" s="18">
        <v>3441</v>
      </c>
      <c r="I620" s="22" t="s">
        <v>43</v>
      </c>
      <c r="J620" s="18">
        <v>30</v>
      </c>
      <c r="K620" s="18" t="s">
        <v>13</v>
      </c>
      <c r="L620" s="18">
        <v>2</v>
      </c>
      <c r="M620" s="22" t="s">
        <v>45</v>
      </c>
    </row>
    <row r="621" spans="1:13" x14ac:dyDescent="0.35">
      <c r="A621" s="18">
        <v>49</v>
      </c>
      <c r="B621" s="22" t="s">
        <v>39</v>
      </c>
      <c r="C621" s="18" t="s">
        <v>19</v>
      </c>
      <c r="D621" s="18">
        <v>1</v>
      </c>
      <c r="E621" s="18" t="s">
        <v>21</v>
      </c>
      <c r="F621" s="18" t="s">
        <v>24</v>
      </c>
      <c r="G621" s="18" t="s">
        <v>10</v>
      </c>
      <c r="H621" s="18">
        <v>640</v>
      </c>
      <c r="I621" s="22" t="s">
        <v>46</v>
      </c>
      <c r="J621" s="18">
        <v>12</v>
      </c>
      <c r="K621" s="18" t="s">
        <v>14</v>
      </c>
      <c r="L621" s="18">
        <v>1</v>
      </c>
      <c r="M621" s="22" t="s">
        <v>34</v>
      </c>
    </row>
    <row r="622" spans="1:13" x14ac:dyDescent="0.35">
      <c r="A622" s="18">
        <v>27</v>
      </c>
      <c r="B622" s="22" t="s">
        <v>38</v>
      </c>
      <c r="C622" s="18" t="s">
        <v>19</v>
      </c>
      <c r="D622" s="18">
        <v>2</v>
      </c>
      <c r="E622" s="18" t="s">
        <v>21</v>
      </c>
      <c r="F622" s="18" t="s">
        <v>24</v>
      </c>
      <c r="G622" s="18" t="s">
        <v>27</v>
      </c>
      <c r="H622" s="18">
        <v>3652</v>
      </c>
      <c r="I622" s="22" t="s">
        <v>43</v>
      </c>
      <c r="J622" s="18">
        <v>21</v>
      </c>
      <c r="K622" s="18" t="s">
        <v>15</v>
      </c>
      <c r="L622" s="18">
        <v>1</v>
      </c>
      <c r="M622" s="22" t="s">
        <v>34</v>
      </c>
    </row>
    <row r="623" spans="1:13" x14ac:dyDescent="0.35">
      <c r="A623" s="18">
        <v>32</v>
      </c>
      <c r="B623" s="22" t="s">
        <v>39</v>
      </c>
      <c r="C623" s="18" t="s">
        <v>19</v>
      </c>
      <c r="D623" s="18">
        <v>2</v>
      </c>
      <c r="E623" s="18" t="s">
        <v>21</v>
      </c>
      <c r="F623" s="18" t="s">
        <v>24</v>
      </c>
      <c r="G623" s="18" t="s">
        <v>10</v>
      </c>
      <c r="H623" s="18">
        <v>1530</v>
      </c>
      <c r="I623" s="22" t="s">
        <v>46</v>
      </c>
      <c r="J623" s="18">
        <v>18</v>
      </c>
      <c r="K623" s="18" t="s">
        <v>14</v>
      </c>
      <c r="L623" s="18">
        <v>2</v>
      </c>
      <c r="M623" s="22" t="s">
        <v>45</v>
      </c>
    </row>
    <row r="624" spans="1:13" x14ac:dyDescent="0.35">
      <c r="A624" s="18">
        <v>38</v>
      </c>
      <c r="B624" s="22" t="s">
        <v>39</v>
      </c>
      <c r="C624" s="18" t="s">
        <v>19</v>
      </c>
      <c r="D624" s="18">
        <v>2</v>
      </c>
      <c r="E624" s="18" t="s">
        <v>21</v>
      </c>
      <c r="F624" s="18" t="s">
        <v>10</v>
      </c>
      <c r="G624" s="18" t="s">
        <v>10</v>
      </c>
      <c r="H624" s="18">
        <v>3914</v>
      </c>
      <c r="I624" s="22" t="s">
        <v>43</v>
      </c>
      <c r="J624" s="18">
        <v>48</v>
      </c>
      <c r="K624" s="18" t="s">
        <v>15</v>
      </c>
      <c r="L624" s="18">
        <v>2</v>
      </c>
      <c r="M624" s="22" t="s">
        <v>45</v>
      </c>
    </row>
    <row r="625" spans="1:13" x14ac:dyDescent="0.35">
      <c r="A625" s="18">
        <v>22</v>
      </c>
      <c r="B625" s="22" t="s">
        <v>38</v>
      </c>
      <c r="C625" s="18" t="s">
        <v>20</v>
      </c>
      <c r="D625" s="18">
        <v>2</v>
      </c>
      <c r="E625" s="18" t="s">
        <v>23</v>
      </c>
      <c r="F625" s="18" t="s">
        <v>24</v>
      </c>
      <c r="G625" s="18" t="s">
        <v>24</v>
      </c>
      <c r="H625" s="18">
        <v>1858</v>
      </c>
      <c r="I625" s="22" t="s">
        <v>46</v>
      </c>
      <c r="J625" s="18">
        <v>12</v>
      </c>
      <c r="K625" s="18" t="s">
        <v>13</v>
      </c>
      <c r="L625" s="18">
        <v>1</v>
      </c>
      <c r="M625" s="22" t="s">
        <v>34</v>
      </c>
    </row>
    <row r="626" spans="1:13" x14ac:dyDescent="0.35">
      <c r="A626" s="18">
        <v>65</v>
      </c>
      <c r="B626" s="22" t="s">
        <v>37</v>
      </c>
      <c r="C626" s="18" t="s">
        <v>19</v>
      </c>
      <c r="D626" s="18">
        <v>2</v>
      </c>
      <c r="E626" s="18" t="s">
        <v>22</v>
      </c>
      <c r="F626" s="18" t="s">
        <v>24</v>
      </c>
      <c r="G626" s="18" t="s">
        <v>24</v>
      </c>
      <c r="H626" s="18">
        <v>2600</v>
      </c>
      <c r="I626" s="22" t="s">
        <v>43</v>
      </c>
      <c r="J626" s="18">
        <v>18</v>
      </c>
      <c r="K626" s="18" t="s">
        <v>11</v>
      </c>
      <c r="L626" s="18">
        <v>2</v>
      </c>
      <c r="M626" s="22" t="s">
        <v>45</v>
      </c>
    </row>
    <row r="627" spans="1:13" x14ac:dyDescent="0.35">
      <c r="A627" s="18">
        <v>35</v>
      </c>
      <c r="B627" s="22" t="s">
        <v>39</v>
      </c>
      <c r="C627" s="18" t="s">
        <v>19</v>
      </c>
      <c r="D627" s="18">
        <v>2</v>
      </c>
      <c r="E627" s="18" t="s">
        <v>21</v>
      </c>
      <c r="F627" s="18" t="s">
        <v>10</v>
      </c>
      <c r="G627" s="18" t="s">
        <v>10</v>
      </c>
      <c r="H627" s="18">
        <v>1979</v>
      </c>
      <c r="I627" s="22" t="s">
        <v>46</v>
      </c>
      <c r="J627" s="18">
        <v>15</v>
      </c>
      <c r="K627" s="18" t="s">
        <v>11</v>
      </c>
      <c r="L627" s="18">
        <v>1</v>
      </c>
      <c r="M627" s="22" t="s">
        <v>34</v>
      </c>
    </row>
    <row r="628" spans="1:13" x14ac:dyDescent="0.35">
      <c r="A628" s="18">
        <v>41</v>
      </c>
      <c r="B628" s="22" t="s">
        <v>39</v>
      </c>
      <c r="C628" s="18" t="s">
        <v>19</v>
      </c>
      <c r="D628" s="18">
        <v>2</v>
      </c>
      <c r="E628" s="18" t="s">
        <v>21</v>
      </c>
      <c r="F628" s="18" t="s">
        <v>24</v>
      </c>
      <c r="G628" s="18" t="s">
        <v>26</v>
      </c>
      <c r="H628" s="18">
        <v>2116</v>
      </c>
      <c r="I628" s="22" t="s">
        <v>43</v>
      </c>
      <c r="J628" s="18">
        <v>6</v>
      </c>
      <c r="K628" s="18" t="s">
        <v>13</v>
      </c>
      <c r="L628" s="18">
        <v>1</v>
      </c>
      <c r="M628" s="22" t="s">
        <v>34</v>
      </c>
    </row>
    <row r="629" spans="1:13" x14ac:dyDescent="0.35">
      <c r="A629" s="18">
        <v>29</v>
      </c>
      <c r="B629" s="22" t="s">
        <v>38</v>
      </c>
      <c r="C629" s="18" t="s">
        <v>19</v>
      </c>
      <c r="D629" s="18">
        <v>2</v>
      </c>
      <c r="E629" s="18" t="s">
        <v>21</v>
      </c>
      <c r="F629" s="18" t="s">
        <v>27</v>
      </c>
      <c r="G629" s="18" t="s">
        <v>27</v>
      </c>
      <c r="H629" s="18">
        <v>1437</v>
      </c>
      <c r="I629" s="22" t="s">
        <v>46</v>
      </c>
      <c r="J629" s="18">
        <v>9</v>
      </c>
      <c r="K629" s="18" t="s">
        <v>14</v>
      </c>
      <c r="L629" s="18">
        <v>2</v>
      </c>
      <c r="M629" s="22" t="s">
        <v>45</v>
      </c>
    </row>
    <row r="630" spans="1:13" x14ac:dyDescent="0.35">
      <c r="A630" s="18">
        <v>36</v>
      </c>
      <c r="B630" s="22" t="s">
        <v>39</v>
      </c>
      <c r="C630" s="18" t="s">
        <v>19</v>
      </c>
      <c r="D630" s="18">
        <v>2</v>
      </c>
      <c r="E630" s="18" t="s">
        <v>21</v>
      </c>
      <c r="F630" s="18" t="s">
        <v>25</v>
      </c>
      <c r="G630" s="18" t="s">
        <v>10</v>
      </c>
      <c r="H630" s="18">
        <v>4042</v>
      </c>
      <c r="I630" s="22" t="s">
        <v>43</v>
      </c>
      <c r="J630" s="18">
        <v>42</v>
      </c>
      <c r="K630" s="18" t="s">
        <v>13</v>
      </c>
      <c r="L630" s="18">
        <v>1</v>
      </c>
      <c r="M630" s="22" t="s">
        <v>34</v>
      </c>
    </row>
    <row r="631" spans="1:13" x14ac:dyDescent="0.35">
      <c r="A631" s="18">
        <v>64</v>
      </c>
      <c r="B631" s="22" t="s">
        <v>37</v>
      </c>
      <c r="C631" s="18" t="s">
        <v>19</v>
      </c>
      <c r="D631" s="18">
        <v>1</v>
      </c>
      <c r="E631" s="18" t="s">
        <v>21</v>
      </c>
      <c r="F631" s="18" t="s">
        <v>10</v>
      </c>
      <c r="G631" s="18" t="s">
        <v>10</v>
      </c>
      <c r="H631" s="18">
        <v>3832</v>
      </c>
      <c r="I631" s="22" t="s">
        <v>43</v>
      </c>
      <c r="J631" s="18">
        <v>9</v>
      </c>
      <c r="K631" s="18" t="s">
        <v>12</v>
      </c>
      <c r="L631" s="18">
        <v>1</v>
      </c>
      <c r="M631" s="22" t="s">
        <v>34</v>
      </c>
    </row>
    <row r="632" spans="1:13" x14ac:dyDescent="0.35">
      <c r="A632" s="18">
        <v>28</v>
      </c>
      <c r="B632" s="22" t="s">
        <v>38</v>
      </c>
      <c r="C632" s="18" t="s">
        <v>20</v>
      </c>
      <c r="D632" s="18">
        <v>2</v>
      </c>
      <c r="E632" s="18" t="s">
        <v>21</v>
      </c>
      <c r="F632" s="18" t="s">
        <v>24</v>
      </c>
      <c r="G632" s="18" t="s">
        <v>24</v>
      </c>
      <c r="H632" s="18">
        <v>3660</v>
      </c>
      <c r="I632" s="22" t="s">
        <v>43</v>
      </c>
      <c r="J632" s="18">
        <v>24</v>
      </c>
      <c r="K632" s="18" t="s">
        <v>11</v>
      </c>
      <c r="L632" s="18">
        <v>1</v>
      </c>
      <c r="M632" s="22" t="s">
        <v>34</v>
      </c>
    </row>
    <row r="633" spans="1:13" x14ac:dyDescent="0.35">
      <c r="A633" s="18">
        <v>44</v>
      </c>
      <c r="B633" s="22" t="s">
        <v>39</v>
      </c>
      <c r="C633" s="18" t="s">
        <v>19</v>
      </c>
      <c r="D633" s="18">
        <v>2</v>
      </c>
      <c r="E633" s="18" t="s">
        <v>21</v>
      </c>
      <c r="F633" s="18" t="s">
        <v>24</v>
      </c>
      <c r="G633" s="18" t="s">
        <v>24</v>
      </c>
      <c r="H633" s="18">
        <v>1553</v>
      </c>
      <c r="I633" s="22" t="s">
        <v>46</v>
      </c>
      <c r="J633" s="18">
        <v>18</v>
      </c>
      <c r="K633" s="18" t="s">
        <v>13</v>
      </c>
      <c r="L633" s="18">
        <v>2</v>
      </c>
      <c r="M633" s="22" t="s">
        <v>45</v>
      </c>
    </row>
    <row r="634" spans="1:13" x14ac:dyDescent="0.35">
      <c r="A634" s="18">
        <v>23</v>
      </c>
      <c r="B634" s="22" t="s">
        <v>38</v>
      </c>
      <c r="C634" s="18" t="s">
        <v>19</v>
      </c>
      <c r="D634" s="18">
        <v>2</v>
      </c>
      <c r="E634" s="18" t="s">
        <v>21</v>
      </c>
      <c r="F634" s="18" t="s">
        <v>10</v>
      </c>
      <c r="G634" s="18" t="s">
        <v>27</v>
      </c>
      <c r="H634" s="18">
        <v>1444</v>
      </c>
      <c r="I634" s="22" t="s">
        <v>46</v>
      </c>
      <c r="J634" s="18">
        <v>15</v>
      </c>
      <c r="K634" s="18" t="s">
        <v>11</v>
      </c>
      <c r="L634" s="18">
        <v>1</v>
      </c>
      <c r="M634" s="22" t="s">
        <v>34</v>
      </c>
    </row>
    <row r="635" spans="1:13" x14ac:dyDescent="0.35">
      <c r="A635" s="18">
        <v>19</v>
      </c>
      <c r="B635" s="22" t="s">
        <v>38</v>
      </c>
      <c r="C635" s="18" t="s">
        <v>20</v>
      </c>
      <c r="D635" s="18">
        <v>2</v>
      </c>
      <c r="E635" s="18" t="s">
        <v>23</v>
      </c>
      <c r="F635" s="18" t="s">
        <v>24</v>
      </c>
      <c r="G635" s="18" t="s">
        <v>10</v>
      </c>
      <c r="H635" s="18">
        <v>1980</v>
      </c>
      <c r="I635" s="22" t="s">
        <v>46</v>
      </c>
      <c r="J635" s="18">
        <v>9</v>
      </c>
      <c r="K635" s="18" t="s">
        <v>13</v>
      </c>
      <c r="L635" s="18">
        <v>2</v>
      </c>
      <c r="M635" s="22" t="s">
        <v>45</v>
      </c>
    </row>
    <row r="636" spans="1:13" x14ac:dyDescent="0.35">
      <c r="A636" s="18">
        <v>25</v>
      </c>
      <c r="B636" s="22" t="s">
        <v>38</v>
      </c>
      <c r="C636" s="18" t="s">
        <v>20</v>
      </c>
      <c r="D636" s="18">
        <v>1</v>
      </c>
      <c r="E636" s="18" t="s">
        <v>21</v>
      </c>
      <c r="F636" s="18" t="s">
        <v>24</v>
      </c>
      <c r="G636" s="18" t="s">
        <v>27</v>
      </c>
      <c r="H636" s="18">
        <v>1355</v>
      </c>
      <c r="I636" s="22" t="s">
        <v>46</v>
      </c>
      <c r="J636" s="18">
        <v>24</v>
      </c>
      <c r="K636" s="18" t="s">
        <v>14</v>
      </c>
      <c r="L636" s="18">
        <v>2</v>
      </c>
      <c r="M636" s="22" t="s">
        <v>45</v>
      </c>
    </row>
    <row r="637" spans="1:13" x14ac:dyDescent="0.35">
      <c r="A637" s="18">
        <v>47</v>
      </c>
      <c r="B637" s="22" t="s">
        <v>39</v>
      </c>
      <c r="C637" s="18" t="s">
        <v>19</v>
      </c>
      <c r="D637" s="18">
        <v>2</v>
      </c>
      <c r="E637" s="18" t="s">
        <v>21</v>
      </c>
      <c r="F637" s="18" t="s">
        <v>24</v>
      </c>
      <c r="G637" s="18" t="s">
        <v>10</v>
      </c>
      <c r="H637" s="18">
        <v>1393</v>
      </c>
      <c r="I637" s="22" t="s">
        <v>46</v>
      </c>
      <c r="J637" s="18">
        <v>12</v>
      </c>
      <c r="K637" s="18" t="s">
        <v>12</v>
      </c>
      <c r="L637" s="18">
        <v>1</v>
      </c>
      <c r="M637" s="22" t="s">
        <v>34</v>
      </c>
    </row>
    <row r="638" spans="1:13" x14ac:dyDescent="0.35">
      <c r="A638" s="18">
        <v>28</v>
      </c>
      <c r="B638" s="22" t="s">
        <v>38</v>
      </c>
      <c r="C638" s="18" t="s">
        <v>20</v>
      </c>
      <c r="D638" s="18">
        <v>2</v>
      </c>
      <c r="E638" s="18" t="s">
        <v>21</v>
      </c>
      <c r="F638" s="18" t="s">
        <v>25</v>
      </c>
      <c r="G638" s="18" t="s">
        <v>10</v>
      </c>
      <c r="H638" s="18">
        <v>1376</v>
      </c>
      <c r="I638" s="22" t="s">
        <v>46</v>
      </c>
      <c r="J638" s="18">
        <v>24</v>
      </c>
      <c r="K638" s="18" t="s">
        <v>11</v>
      </c>
      <c r="L638" s="18">
        <v>1</v>
      </c>
      <c r="M638" s="22" t="s">
        <v>34</v>
      </c>
    </row>
    <row r="639" spans="1:13" x14ac:dyDescent="0.35">
      <c r="A639" s="18">
        <v>21</v>
      </c>
      <c r="B639" s="22" t="s">
        <v>38</v>
      </c>
      <c r="C639" s="18" t="s">
        <v>19</v>
      </c>
      <c r="D639" s="18">
        <v>2</v>
      </c>
      <c r="E639" s="18" t="s">
        <v>21</v>
      </c>
      <c r="F639" s="18" t="s">
        <v>24</v>
      </c>
      <c r="G639" s="18" t="s">
        <v>10</v>
      </c>
      <c r="H639" s="18">
        <v>15653</v>
      </c>
      <c r="I639" s="22" t="s">
        <v>42</v>
      </c>
      <c r="J639" s="18">
        <v>60</v>
      </c>
      <c r="K639" s="18" t="s">
        <v>11</v>
      </c>
      <c r="L639" s="18">
        <v>1</v>
      </c>
      <c r="M639" s="22" t="s">
        <v>34</v>
      </c>
    </row>
    <row r="640" spans="1:13" x14ac:dyDescent="0.35">
      <c r="A640" s="18">
        <v>34</v>
      </c>
      <c r="B640" s="22" t="s">
        <v>39</v>
      </c>
      <c r="C640" s="18" t="s">
        <v>20</v>
      </c>
      <c r="D640" s="18">
        <v>2</v>
      </c>
      <c r="E640" s="18" t="s">
        <v>21</v>
      </c>
      <c r="F640" s="18" t="s">
        <v>24</v>
      </c>
      <c r="G640" s="18" t="s">
        <v>10</v>
      </c>
      <c r="H640" s="18">
        <v>1493</v>
      </c>
      <c r="I640" s="22" t="s">
        <v>46</v>
      </c>
      <c r="J640" s="18">
        <v>12</v>
      </c>
      <c r="K640" s="18" t="s">
        <v>11</v>
      </c>
      <c r="L640" s="18">
        <v>1</v>
      </c>
      <c r="M640" s="22" t="s">
        <v>34</v>
      </c>
    </row>
    <row r="641" spans="1:13" x14ac:dyDescent="0.35">
      <c r="A641" s="18">
        <v>26</v>
      </c>
      <c r="B641" s="22" t="s">
        <v>38</v>
      </c>
      <c r="C641" s="18" t="s">
        <v>19</v>
      </c>
      <c r="D641" s="18">
        <v>2</v>
      </c>
      <c r="E641" s="18" t="s">
        <v>21</v>
      </c>
      <c r="F641" s="18" t="s">
        <v>24</v>
      </c>
      <c r="G641" s="18" t="s">
        <v>24</v>
      </c>
      <c r="H641" s="18">
        <v>4370</v>
      </c>
      <c r="I641" s="22" t="s">
        <v>43</v>
      </c>
      <c r="J641" s="18">
        <v>42</v>
      </c>
      <c r="K641" s="18" t="s">
        <v>11</v>
      </c>
      <c r="L641" s="18">
        <v>2</v>
      </c>
      <c r="M641" s="22" t="s">
        <v>45</v>
      </c>
    </row>
    <row r="642" spans="1:13" x14ac:dyDescent="0.35">
      <c r="A642" s="18">
        <v>27</v>
      </c>
      <c r="B642" s="22" t="s">
        <v>38</v>
      </c>
      <c r="C642" s="18" t="s">
        <v>20</v>
      </c>
      <c r="D642" s="18">
        <v>0</v>
      </c>
      <c r="E642" s="18" t="s">
        <v>21</v>
      </c>
      <c r="F642" s="18" t="s">
        <v>24</v>
      </c>
      <c r="G642" s="18" t="s">
        <v>24</v>
      </c>
      <c r="H642" s="18">
        <v>750</v>
      </c>
      <c r="I642" s="22" t="s">
        <v>46</v>
      </c>
      <c r="J642" s="18">
        <v>18</v>
      </c>
      <c r="K642" s="18" t="s">
        <v>12</v>
      </c>
      <c r="L642" s="18">
        <v>2</v>
      </c>
      <c r="M642" s="22" t="s">
        <v>45</v>
      </c>
    </row>
    <row r="643" spans="1:13" x14ac:dyDescent="0.35">
      <c r="A643" s="18">
        <v>38</v>
      </c>
      <c r="B643" s="22" t="s">
        <v>39</v>
      </c>
      <c r="C643" s="18" t="s">
        <v>19</v>
      </c>
      <c r="D643" s="18">
        <v>1</v>
      </c>
      <c r="E643" s="18" t="s">
        <v>21</v>
      </c>
      <c r="F643" s="18" t="s">
        <v>24</v>
      </c>
      <c r="G643" s="18" t="s">
        <v>27</v>
      </c>
      <c r="H643" s="18">
        <v>1308</v>
      </c>
      <c r="I643" s="22" t="s">
        <v>46</v>
      </c>
      <c r="J643" s="18">
        <v>15</v>
      </c>
      <c r="K643" s="18" t="s">
        <v>17</v>
      </c>
      <c r="L643" s="18">
        <v>1</v>
      </c>
      <c r="M643" s="22" t="s">
        <v>34</v>
      </c>
    </row>
    <row r="644" spans="1:13" x14ac:dyDescent="0.35">
      <c r="A644" s="18">
        <v>40</v>
      </c>
      <c r="B644" s="22" t="s">
        <v>39</v>
      </c>
      <c r="C644" s="18" t="s">
        <v>19</v>
      </c>
      <c r="D644" s="18">
        <v>3</v>
      </c>
      <c r="E644" s="18" t="s">
        <v>21</v>
      </c>
      <c r="F644" s="18" t="s">
        <v>27</v>
      </c>
      <c r="G644" s="18" t="s">
        <v>10</v>
      </c>
      <c r="H644" s="18">
        <v>4623</v>
      </c>
      <c r="I644" s="22" t="s">
        <v>43</v>
      </c>
      <c r="J644" s="18">
        <v>15</v>
      </c>
      <c r="K644" s="18" t="s">
        <v>12</v>
      </c>
      <c r="L644" s="18">
        <v>2</v>
      </c>
      <c r="M644" s="22" t="s">
        <v>45</v>
      </c>
    </row>
    <row r="645" spans="1:13" x14ac:dyDescent="0.35">
      <c r="A645" s="18">
        <v>33</v>
      </c>
      <c r="B645" s="22" t="s">
        <v>39</v>
      </c>
      <c r="C645" s="18" t="s">
        <v>19</v>
      </c>
      <c r="D645" s="18">
        <v>2</v>
      </c>
      <c r="E645" s="18" t="s">
        <v>21</v>
      </c>
      <c r="F645" s="18" t="s">
        <v>24</v>
      </c>
      <c r="G645" s="18" t="s">
        <v>10</v>
      </c>
      <c r="H645" s="18">
        <v>1851</v>
      </c>
      <c r="I645" s="22" t="s">
        <v>46</v>
      </c>
      <c r="J645" s="18">
        <v>24</v>
      </c>
      <c r="K645" s="18" t="s">
        <v>11</v>
      </c>
      <c r="L645" s="18">
        <v>1</v>
      </c>
      <c r="M645" s="22" t="s">
        <v>34</v>
      </c>
    </row>
    <row r="646" spans="1:13" x14ac:dyDescent="0.35">
      <c r="A646" s="18">
        <v>32</v>
      </c>
      <c r="B646" s="22" t="s">
        <v>39</v>
      </c>
      <c r="C646" s="18" t="s">
        <v>19</v>
      </c>
      <c r="D646" s="18">
        <v>3</v>
      </c>
      <c r="E646" s="18" t="s">
        <v>21</v>
      </c>
      <c r="F646" s="18" t="s">
        <v>24</v>
      </c>
      <c r="G646" s="18" t="s">
        <v>24</v>
      </c>
      <c r="H646" s="18">
        <v>1880</v>
      </c>
      <c r="I646" s="22" t="s">
        <v>46</v>
      </c>
      <c r="J646" s="18">
        <v>18</v>
      </c>
      <c r="K646" s="18" t="s">
        <v>11</v>
      </c>
      <c r="L646" s="18">
        <v>1</v>
      </c>
      <c r="M646" s="22" t="s">
        <v>34</v>
      </c>
    </row>
    <row r="647" spans="1:13" x14ac:dyDescent="0.35">
      <c r="A647" s="18">
        <v>27</v>
      </c>
      <c r="B647" s="22" t="s">
        <v>38</v>
      </c>
      <c r="C647" s="18" t="s">
        <v>19</v>
      </c>
      <c r="D647" s="18">
        <v>2</v>
      </c>
      <c r="E647" s="18" t="s">
        <v>23</v>
      </c>
      <c r="F647" s="18" t="s">
        <v>10</v>
      </c>
      <c r="G647" s="18" t="s">
        <v>10</v>
      </c>
      <c r="H647" s="18">
        <v>7980</v>
      </c>
      <c r="I647" s="22" t="s">
        <v>42</v>
      </c>
      <c r="J647" s="18">
        <v>36</v>
      </c>
      <c r="K647" s="18" t="s">
        <v>15</v>
      </c>
      <c r="L647" s="18">
        <v>2</v>
      </c>
      <c r="M647" s="22" t="s">
        <v>45</v>
      </c>
    </row>
    <row r="648" spans="1:13" x14ac:dyDescent="0.35">
      <c r="A648" s="18">
        <v>32</v>
      </c>
      <c r="B648" s="22" t="s">
        <v>39</v>
      </c>
      <c r="C648" s="18" t="s">
        <v>19</v>
      </c>
      <c r="D648" s="18">
        <v>2</v>
      </c>
      <c r="E648" s="18" t="s">
        <v>21</v>
      </c>
      <c r="F648" s="18" t="s">
        <v>24</v>
      </c>
      <c r="G648" s="18" t="s">
        <v>24</v>
      </c>
      <c r="H648" s="18">
        <v>4583</v>
      </c>
      <c r="I648" s="22" t="s">
        <v>43</v>
      </c>
      <c r="J648" s="18">
        <v>30</v>
      </c>
      <c r="K648" s="18" t="s">
        <v>13</v>
      </c>
      <c r="L648" s="18">
        <v>1</v>
      </c>
      <c r="M648" s="22" t="s">
        <v>34</v>
      </c>
    </row>
    <row r="649" spans="1:13" x14ac:dyDescent="0.35">
      <c r="A649" s="18">
        <v>26</v>
      </c>
      <c r="B649" s="22" t="s">
        <v>38</v>
      </c>
      <c r="C649" s="18" t="s">
        <v>20</v>
      </c>
      <c r="D649" s="18">
        <v>2</v>
      </c>
      <c r="E649" s="18" t="s">
        <v>21</v>
      </c>
      <c r="F649" s="18" t="s">
        <v>25</v>
      </c>
      <c r="G649" s="18" t="s">
        <v>10</v>
      </c>
      <c r="H649" s="18">
        <v>1386</v>
      </c>
      <c r="I649" s="22" t="s">
        <v>46</v>
      </c>
      <c r="J649" s="18">
        <v>12</v>
      </c>
      <c r="K649" s="18" t="s">
        <v>14</v>
      </c>
      <c r="L649" s="18">
        <v>2</v>
      </c>
      <c r="M649" s="22" t="s">
        <v>45</v>
      </c>
    </row>
    <row r="650" spans="1:13" x14ac:dyDescent="0.35">
      <c r="A650" s="18">
        <v>38</v>
      </c>
      <c r="B650" s="22" t="s">
        <v>39</v>
      </c>
      <c r="C650" s="18" t="s">
        <v>19</v>
      </c>
      <c r="D650" s="18">
        <v>2</v>
      </c>
      <c r="E650" s="18" t="s">
        <v>22</v>
      </c>
      <c r="F650" s="18" t="s">
        <v>24</v>
      </c>
      <c r="G650" s="18" t="s">
        <v>26</v>
      </c>
      <c r="H650" s="18">
        <v>947</v>
      </c>
      <c r="I650" s="22" t="s">
        <v>46</v>
      </c>
      <c r="J650" s="18">
        <v>24</v>
      </c>
      <c r="K650" s="18" t="s">
        <v>14</v>
      </c>
      <c r="L650" s="18">
        <v>2</v>
      </c>
      <c r="M650" s="22" t="s">
        <v>45</v>
      </c>
    </row>
    <row r="651" spans="1:13" x14ac:dyDescent="0.35">
      <c r="A651" s="18">
        <v>40</v>
      </c>
      <c r="B651" s="22" t="s">
        <v>39</v>
      </c>
      <c r="C651" s="18" t="s">
        <v>19</v>
      </c>
      <c r="D651" s="18">
        <v>1</v>
      </c>
      <c r="E651" s="18" t="s">
        <v>23</v>
      </c>
      <c r="F651" s="18" t="s">
        <v>24</v>
      </c>
      <c r="G651" s="18" t="s">
        <v>24</v>
      </c>
      <c r="H651" s="18">
        <v>684</v>
      </c>
      <c r="I651" s="22" t="s">
        <v>46</v>
      </c>
      <c r="J651" s="18">
        <v>12</v>
      </c>
      <c r="K651" s="18" t="s">
        <v>12</v>
      </c>
      <c r="L651" s="18">
        <v>2</v>
      </c>
      <c r="M651" s="22" t="s">
        <v>45</v>
      </c>
    </row>
    <row r="652" spans="1:13" x14ac:dyDescent="0.35">
      <c r="A652" s="18">
        <v>50</v>
      </c>
      <c r="B652" s="22" t="s">
        <v>37</v>
      </c>
      <c r="C652" s="18" t="s">
        <v>19</v>
      </c>
      <c r="D652" s="18">
        <v>3</v>
      </c>
      <c r="E652" s="18" t="s">
        <v>22</v>
      </c>
      <c r="F652" s="18" t="s">
        <v>24</v>
      </c>
      <c r="G652" s="18" t="s">
        <v>24</v>
      </c>
      <c r="H652" s="18">
        <v>7476</v>
      </c>
      <c r="I652" s="22" t="s">
        <v>42</v>
      </c>
      <c r="J652" s="18">
        <v>48</v>
      </c>
      <c r="K652" s="18" t="s">
        <v>12</v>
      </c>
      <c r="L652" s="18">
        <v>1</v>
      </c>
      <c r="M652" s="22" t="s">
        <v>34</v>
      </c>
    </row>
    <row r="653" spans="1:13" x14ac:dyDescent="0.35">
      <c r="A653" s="18">
        <v>37</v>
      </c>
      <c r="B653" s="22" t="s">
        <v>39</v>
      </c>
      <c r="C653" s="18" t="s">
        <v>19</v>
      </c>
      <c r="D653" s="18">
        <v>1</v>
      </c>
      <c r="E653" s="18" t="s">
        <v>21</v>
      </c>
      <c r="F653" s="18" t="s">
        <v>24</v>
      </c>
      <c r="G653" s="18" t="s">
        <v>27</v>
      </c>
      <c r="H653" s="18">
        <v>1922</v>
      </c>
      <c r="I653" s="22" t="s">
        <v>46</v>
      </c>
      <c r="J653" s="18">
        <v>12</v>
      </c>
      <c r="K653" s="18" t="s">
        <v>13</v>
      </c>
      <c r="L653" s="18">
        <v>2</v>
      </c>
      <c r="M653" s="22" t="s">
        <v>45</v>
      </c>
    </row>
    <row r="654" spans="1:13" x14ac:dyDescent="0.35">
      <c r="A654" s="18">
        <v>45</v>
      </c>
      <c r="B654" s="22" t="s">
        <v>39</v>
      </c>
      <c r="C654" s="18" t="s">
        <v>19</v>
      </c>
      <c r="D654" s="18">
        <v>2</v>
      </c>
      <c r="E654" s="18" t="s">
        <v>21</v>
      </c>
      <c r="F654" s="18" t="s">
        <v>24</v>
      </c>
      <c r="G654" s="18" t="s">
        <v>24</v>
      </c>
      <c r="H654" s="18">
        <v>2303</v>
      </c>
      <c r="I654" s="22" t="s">
        <v>43</v>
      </c>
      <c r="J654" s="18">
        <v>24</v>
      </c>
      <c r="K654" s="18" t="s">
        <v>14</v>
      </c>
      <c r="L654" s="18">
        <v>2</v>
      </c>
      <c r="M654" s="22" t="s">
        <v>45</v>
      </c>
    </row>
    <row r="655" spans="1:13" x14ac:dyDescent="0.35">
      <c r="A655" s="18">
        <v>42</v>
      </c>
      <c r="B655" s="22" t="s">
        <v>39</v>
      </c>
      <c r="C655" s="18" t="s">
        <v>19</v>
      </c>
      <c r="D655" s="18">
        <v>3</v>
      </c>
      <c r="E655" s="18" t="s">
        <v>21</v>
      </c>
      <c r="F655" s="18" t="s">
        <v>27</v>
      </c>
      <c r="G655" s="18" t="s">
        <v>27</v>
      </c>
      <c r="H655" s="18">
        <v>8086</v>
      </c>
      <c r="I655" s="22" t="s">
        <v>42</v>
      </c>
      <c r="J655" s="18">
        <v>36</v>
      </c>
      <c r="K655" s="18" t="s">
        <v>14</v>
      </c>
      <c r="L655" s="18">
        <v>2</v>
      </c>
      <c r="M655" s="22" t="s">
        <v>45</v>
      </c>
    </row>
    <row r="656" spans="1:13" x14ac:dyDescent="0.35">
      <c r="A656" s="18">
        <v>35</v>
      </c>
      <c r="B656" s="22" t="s">
        <v>39</v>
      </c>
      <c r="C656" s="18" t="s">
        <v>19</v>
      </c>
      <c r="D656" s="18">
        <v>2</v>
      </c>
      <c r="E656" s="18" t="s">
        <v>21</v>
      </c>
      <c r="F656" s="18" t="s">
        <v>24</v>
      </c>
      <c r="G656" s="18" t="s">
        <v>10</v>
      </c>
      <c r="H656" s="18">
        <v>2346</v>
      </c>
      <c r="I656" s="22" t="s">
        <v>43</v>
      </c>
      <c r="J656" s="18">
        <v>24</v>
      </c>
      <c r="K656" s="18" t="s">
        <v>14</v>
      </c>
      <c r="L656" s="18">
        <v>1</v>
      </c>
      <c r="M656" s="22" t="s">
        <v>34</v>
      </c>
    </row>
    <row r="657" spans="1:13" x14ac:dyDescent="0.35">
      <c r="A657" s="18">
        <v>22</v>
      </c>
      <c r="B657" s="22" t="s">
        <v>38</v>
      </c>
      <c r="C657" s="18" t="s">
        <v>19</v>
      </c>
      <c r="D657" s="18">
        <v>2</v>
      </c>
      <c r="E657" s="18" t="s">
        <v>22</v>
      </c>
      <c r="F657" s="18" t="s">
        <v>24</v>
      </c>
      <c r="G657" s="18" t="s">
        <v>24</v>
      </c>
      <c r="H657" s="18">
        <v>3973</v>
      </c>
      <c r="I657" s="22" t="s">
        <v>43</v>
      </c>
      <c r="J657" s="18">
        <v>14</v>
      </c>
      <c r="K657" s="18" t="s">
        <v>14</v>
      </c>
      <c r="L657" s="18">
        <v>1</v>
      </c>
      <c r="M657" s="22" t="s">
        <v>34</v>
      </c>
    </row>
    <row r="658" spans="1:13" x14ac:dyDescent="0.35">
      <c r="A658" s="18">
        <v>41</v>
      </c>
      <c r="B658" s="22" t="s">
        <v>39</v>
      </c>
      <c r="C658" s="18" t="s">
        <v>19</v>
      </c>
      <c r="D658" s="18">
        <v>1</v>
      </c>
      <c r="E658" s="18" t="s">
        <v>21</v>
      </c>
      <c r="F658" s="18" t="s">
        <v>24</v>
      </c>
      <c r="G658" s="18" t="s">
        <v>27</v>
      </c>
      <c r="H658" s="18">
        <v>888</v>
      </c>
      <c r="I658" s="22" t="s">
        <v>46</v>
      </c>
      <c r="J658" s="18">
        <v>12</v>
      </c>
      <c r="K658" s="18" t="s">
        <v>14</v>
      </c>
      <c r="L658" s="18">
        <v>2</v>
      </c>
      <c r="M658" s="22" t="s">
        <v>45</v>
      </c>
    </row>
    <row r="659" spans="1:13" x14ac:dyDescent="0.35">
      <c r="A659" s="18">
        <v>37</v>
      </c>
      <c r="B659" s="22" t="s">
        <v>39</v>
      </c>
      <c r="C659" s="18" t="s">
        <v>19</v>
      </c>
      <c r="D659" s="18">
        <v>2</v>
      </c>
      <c r="E659" s="18" t="s">
        <v>21</v>
      </c>
      <c r="F659" s="18" t="s">
        <v>10</v>
      </c>
      <c r="G659" s="18" t="s">
        <v>10</v>
      </c>
      <c r="H659" s="18">
        <v>10222</v>
      </c>
      <c r="I659" s="22" t="s">
        <v>42</v>
      </c>
      <c r="J659" s="18">
        <v>48</v>
      </c>
      <c r="K659" s="18" t="s">
        <v>11</v>
      </c>
      <c r="L659" s="18">
        <v>1</v>
      </c>
      <c r="M659" s="22" t="s">
        <v>34</v>
      </c>
    </row>
    <row r="660" spans="1:13" x14ac:dyDescent="0.35">
      <c r="A660" s="18">
        <v>28</v>
      </c>
      <c r="B660" s="22" t="s">
        <v>38</v>
      </c>
      <c r="C660" s="18" t="s">
        <v>20</v>
      </c>
      <c r="D660" s="18">
        <v>2</v>
      </c>
      <c r="E660" s="18" t="s">
        <v>21</v>
      </c>
      <c r="F660" s="18" t="s">
        <v>24</v>
      </c>
      <c r="G660" s="18" t="s">
        <v>27</v>
      </c>
      <c r="H660" s="18">
        <v>4221</v>
      </c>
      <c r="I660" s="22" t="s">
        <v>43</v>
      </c>
      <c r="J660" s="18">
        <v>30</v>
      </c>
      <c r="K660" s="18" t="s">
        <v>15</v>
      </c>
      <c r="L660" s="18">
        <v>1</v>
      </c>
      <c r="M660" s="22" t="s">
        <v>34</v>
      </c>
    </row>
    <row r="661" spans="1:13" x14ac:dyDescent="0.35">
      <c r="A661" s="18">
        <v>41</v>
      </c>
      <c r="B661" s="22" t="s">
        <v>39</v>
      </c>
      <c r="C661" s="18" t="s">
        <v>19</v>
      </c>
      <c r="D661" s="18">
        <v>2</v>
      </c>
      <c r="E661" s="18" t="s">
        <v>21</v>
      </c>
      <c r="F661" s="18" t="s">
        <v>24</v>
      </c>
      <c r="G661" s="18" t="s">
        <v>27</v>
      </c>
      <c r="H661" s="18">
        <v>6361</v>
      </c>
      <c r="I661" s="22" t="s">
        <v>42</v>
      </c>
      <c r="J661" s="18">
        <v>18</v>
      </c>
      <c r="K661" s="18" t="s">
        <v>13</v>
      </c>
      <c r="L661" s="18">
        <v>1</v>
      </c>
      <c r="M661" s="22" t="s">
        <v>34</v>
      </c>
    </row>
    <row r="662" spans="1:13" x14ac:dyDescent="0.35">
      <c r="A662" s="18">
        <v>23</v>
      </c>
      <c r="B662" s="22" t="s">
        <v>38</v>
      </c>
      <c r="C662" s="18" t="s">
        <v>19</v>
      </c>
      <c r="D662" s="18">
        <v>2</v>
      </c>
      <c r="E662" s="18" t="s">
        <v>23</v>
      </c>
      <c r="F662" s="18" t="s">
        <v>24</v>
      </c>
      <c r="G662" s="18" t="s">
        <v>26</v>
      </c>
      <c r="H662" s="18">
        <v>1297</v>
      </c>
      <c r="I662" s="22" t="s">
        <v>46</v>
      </c>
      <c r="J662" s="18">
        <v>12</v>
      </c>
      <c r="K662" s="18" t="s">
        <v>11</v>
      </c>
      <c r="L662" s="18">
        <v>1</v>
      </c>
      <c r="M662" s="22" t="s">
        <v>34</v>
      </c>
    </row>
    <row r="663" spans="1:13" x14ac:dyDescent="0.35">
      <c r="A663" s="18">
        <v>23</v>
      </c>
      <c r="B663" s="22" t="s">
        <v>38</v>
      </c>
      <c r="C663" s="18" t="s">
        <v>19</v>
      </c>
      <c r="D663" s="18">
        <v>2</v>
      </c>
      <c r="E663" s="18" t="s">
        <v>21</v>
      </c>
      <c r="F663" s="18" t="s">
        <v>10</v>
      </c>
      <c r="G663" s="18" t="s">
        <v>24</v>
      </c>
      <c r="H663" s="18">
        <v>900</v>
      </c>
      <c r="I663" s="22" t="s">
        <v>46</v>
      </c>
      <c r="J663" s="18">
        <v>12</v>
      </c>
      <c r="K663" s="18" t="s">
        <v>14</v>
      </c>
      <c r="L663" s="18">
        <v>2</v>
      </c>
      <c r="M663" s="22" t="s">
        <v>45</v>
      </c>
    </row>
    <row r="664" spans="1:13" x14ac:dyDescent="0.35">
      <c r="A664" s="18">
        <v>50</v>
      </c>
      <c r="B664" s="22" t="s">
        <v>37</v>
      </c>
      <c r="C664" s="18" t="s">
        <v>19</v>
      </c>
      <c r="D664" s="18">
        <v>2</v>
      </c>
      <c r="E664" s="18" t="s">
        <v>21</v>
      </c>
      <c r="F664" s="18" t="s">
        <v>24</v>
      </c>
      <c r="G664" s="18" t="s">
        <v>10</v>
      </c>
      <c r="H664" s="18">
        <v>2241</v>
      </c>
      <c r="I664" s="22" t="s">
        <v>43</v>
      </c>
      <c r="J664" s="18">
        <v>21</v>
      </c>
      <c r="K664" s="18" t="s">
        <v>13</v>
      </c>
      <c r="L664" s="18">
        <v>1</v>
      </c>
      <c r="M664" s="22" t="s">
        <v>34</v>
      </c>
    </row>
    <row r="665" spans="1:13" x14ac:dyDescent="0.35">
      <c r="A665" s="18">
        <v>35</v>
      </c>
      <c r="B665" s="22" t="s">
        <v>39</v>
      </c>
      <c r="C665" s="18" t="s">
        <v>19</v>
      </c>
      <c r="D665" s="18">
        <v>3</v>
      </c>
      <c r="E665" s="18" t="s">
        <v>21</v>
      </c>
      <c r="F665" s="18" t="s">
        <v>24</v>
      </c>
      <c r="G665" s="18" t="s">
        <v>27</v>
      </c>
      <c r="H665" s="18">
        <v>1050</v>
      </c>
      <c r="I665" s="22" t="s">
        <v>46</v>
      </c>
      <c r="J665" s="18">
        <v>6</v>
      </c>
      <c r="K665" s="18" t="s">
        <v>13</v>
      </c>
      <c r="L665" s="18">
        <v>1</v>
      </c>
      <c r="M665" s="22" t="s">
        <v>34</v>
      </c>
    </row>
    <row r="666" spans="1:13" x14ac:dyDescent="0.35">
      <c r="A666" s="18">
        <v>50</v>
      </c>
      <c r="B666" s="22" t="s">
        <v>37</v>
      </c>
      <c r="C666" s="18" t="s">
        <v>20</v>
      </c>
      <c r="D666" s="18">
        <v>1</v>
      </c>
      <c r="E666" s="18" t="s">
        <v>21</v>
      </c>
      <c r="F666" s="18" t="s">
        <v>24</v>
      </c>
      <c r="G666" s="18" t="s">
        <v>26</v>
      </c>
      <c r="H666" s="18">
        <v>1047</v>
      </c>
      <c r="I666" s="22" t="s">
        <v>46</v>
      </c>
      <c r="J666" s="18">
        <v>6</v>
      </c>
      <c r="K666" s="18" t="s">
        <v>12</v>
      </c>
      <c r="L666" s="18">
        <v>1</v>
      </c>
      <c r="M666" s="22" t="s">
        <v>34</v>
      </c>
    </row>
    <row r="667" spans="1:13" x14ac:dyDescent="0.35">
      <c r="A667" s="18">
        <v>27</v>
      </c>
      <c r="B667" s="22" t="s">
        <v>38</v>
      </c>
      <c r="C667" s="18" t="s">
        <v>19</v>
      </c>
      <c r="D667" s="18">
        <v>3</v>
      </c>
      <c r="E667" s="18" t="s">
        <v>21</v>
      </c>
      <c r="F667" s="18" t="s">
        <v>24</v>
      </c>
      <c r="G667" s="18" t="s">
        <v>10</v>
      </c>
      <c r="H667" s="18">
        <v>6314</v>
      </c>
      <c r="I667" s="22" t="s">
        <v>42</v>
      </c>
      <c r="J667" s="18">
        <v>24</v>
      </c>
      <c r="K667" s="18" t="s">
        <v>18</v>
      </c>
      <c r="L667" s="18">
        <v>1</v>
      </c>
      <c r="M667" s="22" t="s">
        <v>34</v>
      </c>
    </row>
    <row r="668" spans="1:13" x14ac:dyDescent="0.35">
      <c r="A668" s="18">
        <v>34</v>
      </c>
      <c r="B668" s="22" t="s">
        <v>39</v>
      </c>
      <c r="C668" s="18" t="s">
        <v>19</v>
      </c>
      <c r="D668" s="18">
        <v>2</v>
      </c>
      <c r="E668" s="18" t="s">
        <v>21</v>
      </c>
      <c r="F668" s="18" t="s">
        <v>26</v>
      </c>
      <c r="G668" s="18" t="s">
        <v>27</v>
      </c>
      <c r="H668" s="18">
        <v>3496</v>
      </c>
      <c r="I668" s="22" t="s">
        <v>43</v>
      </c>
      <c r="J668" s="18">
        <v>30</v>
      </c>
      <c r="K668" s="18" t="s">
        <v>13</v>
      </c>
      <c r="L668" s="18">
        <v>1</v>
      </c>
      <c r="M668" s="22" t="s">
        <v>34</v>
      </c>
    </row>
    <row r="669" spans="1:13" x14ac:dyDescent="0.35">
      <c r="A669" s="18">
        <v>27</v>
      </c>
      <c r="B669" s="22" t="s">
        <v>38</v>
      </c>
      <c r="C669" s="18" t="s">
        <v>20</v>
      </c>
      <c r="D669" s="18">
        <v>2</v>
      </c>
      <c r="E669" s="18" t="s">
        <v>21</v>
      </c>
      <c r="F669" s="18" t="s">
        <v>24</v>
      </c>
      <c r="G669" s="18" t="s">
        <v>10</v>
      </c>
      <c r="H669" s="18">
        <v>3609</v>
      </c>
      <c r="I669" s="22" t="s">
        <v>43</v>
      </c>
      <c r="J669" s="18">
        <v>48</v>
      </c>
      <c r="K669" s="18" t="s">
        <v>15</v>
      </c>
      <c r="L669" s="18">
        <v>1</v>
      </c>
      <c r="M669" s="22" t="s">
        <v>34</v>
      </c>
    </row>
    <row r="670" spans="1:13" x14ac:dyDescent="0.35">
      <c r="A670" s="18">
        <v>43</v>
      </c>
      <c r="B670" s="22" t="s">
        <v>39</v>
      </c>
      <c r="C670" s="18" t="s">
        <v>19</v>
      </c>
      <c r="D670" s="18">
        <v>2</v>
      </c>
      <c r="E670" s="18" t="s">
        <v>23</v>
      </c>
      <c r="F670" s="18" t="s">
        <v>24</v>
      </c>
      <c r="G670" s="18" t="s">
        <v>24</v>
      </c>
      <c r="H670" s="18">
        <v>4843</v>
      </c>
      <c r="I670" s="22" t="s">
        <v>43</v>
      </c>
      <c r="J670" s="18">
        <v>12</v>
      </c>
      <c r="K670" s="18" t="s">
        <v>14</v>
      </c>
      <c r="L670" s="18">
        <v>2</v>
      </c>
      <c r="M670" s="22" t="s">
        <v>45</v>
      </c>
    </row>
    <row r="671" spans="1:13" x14ac:dyDescent="0.35">
      <c r="A671" s="18">
        <v>47</v>
      </c>
      <c r="B671" s="22" t="s">
        <v>39</v>
      </c>
      <c r="C671" s="18" t="s">
        <v>19</v>
      </c>
      <c r="D671" s="18">
        <v>2</v>
      </c>
      <c r="E671" s="18" t="s">
        <v>21</v>
      </c>
      <c r="F671" s="18" t="s">
        <v>24</v>
      </c>
      <c r="G671" s="18" t="s">
        <v>26</v>
      </c>
      <c r="H671" s="18">
        <v>3017</v>
      </c>
      <c r="I671" s="22" t="s">
        <v>43</v>
      </c>
      <c r="J671" s="18">
        <v>30</v>
      </c>
      <c r="K671" s="18" t="s">
        <v>11</v>
      </c>
      <c r="L671" s="18">
        <v>1</v>
      </c>
      <c r="M671" s="22" t="s">
        <v>34</v>
      </c>
    </row>
    <row r="672" spans="1:13" x14ac:dyDescent="0.35">
      <c r="A672" s="18">
        <v>27</v>
      </c>
      <c r="B672" s="22" t="s">
        <v>38</v>
      </c>
      <c r="C672" s="18" t="s">
        <v>19</v>
      </c>
      <c r="D672" s="18">
        <v>1</v>
      </c>
      <c r="E672" s="18" t="s">
        <v>21</v>
      </c>
      <c r="F672" s="18" t="s">
        <v>27</v>
      </c>
      <c r="G672" s="18" t="s">
        <v>10</v>
      </c>
      <c r="H672" s="18">
        <v>4139</v>
      </c>
      <c r="I672" s="22" t="s">
        <v>43</v>
      </c>
      <c r="J672" s="18">
        <v>24</v>
      </c>
      <c r="K672" s="18" t="s">
        <v>15</v>
      </c>
      <c r="L672" s="18">
        <v>1</v>
      </c>
      <c r="M672" s="22" t="s">
        <v>34</v>
      </c>
    </row>
    <row r="673" spans="1:13" x14ac:dyDescent="0.35">
      <c r="A673" s="18">
        <v>31</v>
      </c>
      <c r="B673" s="22" t="s">
        <v>39</v>
      </c>
      <c r="C673" s="18" t="s">
        <v>19</v>
      </c>
      <c r="D673" s="18">
        <v>2</v>
      </c>
      <c r="E673" s="18" t="s">
        <v>21</v>
      </c>
      <c r="F673" s="18" t="s">
        <v>27</v>
      </c>
      <c r="G673" s="18" t="s">
        <v>10</v>
      </c>
      <c r="H673" s="18">
        <v>5742</v>
      </c>
      <c r="I673" s="22" t="s">
        <v>42</v>
      </c>
      <c r="J673" s="18">
        <v>36</v>
      </c>
      <c r="K673" s="18" t="s">
        <v>15</v>
      </c>
      <c r="L673" s="18">
        <v>1</v>
      </c>
      <c r="M673" s="22" t="s">
        <v>34</v>
      </c>
    </row>
    <row r="674" spans="1:13" x14ac:dyDescent="0.35">
      <c r="A674" s="18">
        <v>42</v>
      </c>
      <c r="B674" s="22" t="s">
        <v>39</v>
      </c>
      <c r="C674" s="18" t="s">
        <v>19</v>
      </c>
      <c r="D674" s="18">
        <v>3</v>
      </c>
      <c r="E674" s="18" t="s">
        <v>21</v>
      </c>
      <c r="F674" s="18" t="s">
        <v>24</v>
      </c>
      <c r="G674" s="18" t="s">
        <v>10</v>
      </c>
      <c r="H674" s="18">
        <v>10366</v>
      </c>
      <c r="I674" s="22" t="s">
        <v>42</v>
      </c>
      <c r="J674" s="18">
        <v>60</v>
      </c>
      <c r="K674" s="18" t="s">
        <v>14</v>
      </c>
      <c r="L674" s="18">
        <v>1</v>
      </c>
      <c r="M674" s="22" t="s">
        <v>34</v>
      </c>
    </row>
    <row r="675" spans="1:13" x14ac:dyDescent="0.35">
      <c r="A675" s="18">
        <v>24</v>
      </c>
      <c r="B675" s="22" t="s">
        <v>38</v>
      </c>
      <c r="C675" s="18" t="s">
        <v>19</v>
      </c>
      <c r="D675" s="18">
        <v>2</v>
      </c>
      <c r="E675" s="18" t="s">
        <v>21</v>
      </c>
      <c r="F675" s="18" t="s">
        <v>25</v>
      </c>
      <c r="G675" s="18" t="s">
        <v>10</v>
      </c>
      <c r="H675" s="18">
        <v>2080</v>
      </c>
      <c r="I675" s="22" t="s">
        <v>43</v>
      </c>
      <c r="J675" s="18">
        <v>6</v>
      </c>
      <c r="K675" s="18" t="s">
        <v>14</v>
      </c>
      <c r="L675" s="18">
        <v>1</v>
      </c>
      <c r="M675" s="22" t="s">
        <v>34</v>
      </c>
    </row>
    <row r="676" spans="1:13" x14ac:dyDescent="0.35">
      <c r="A676" s="18">
        <v>41</v>
      </c>
      <c r="B676" s="22" t="s">
        <v>39</v>
      </c>
      <c r="C676" s="18" t="s">
        <v>19</v>
      </c>
      <c r="D676" s="18">
        <v>1</v>
      </c>
      <c r="E676" s="18" t="s">
        <v>21</v>
      </c>
      <c r="F676" s="18" t="s">
        <v>25</v>
      </c>
      <c r="G676" s="18" t="s">
        <v>10</v>
      </c>
      <c r="H676" s="18">
        <v>2580</v>
      </c>
      <c r="I676" s="22" t="s">
        <v>43</v>
      </c>
      <c r="J676" s="18">
        <v>21</v>
      </c>
      <c r="K676" s="18" t="s">
        <v>15</v>
      </c>
      <c r="L676" s="18">
        <v>2</v>
      </c>
      <c r="M676" s="22" t="s">
        <v>45</v>
      </c>
    </row>
    <row r="677" spans="1:13" x14ac:dyDescent="0.35">
      <c r="A677" s="18">
        <v>26</v>
      </c>
      <c r="B677" s="22" t="s">
        <v>38</v>
      </c>
      <c r="C677" s="18" t="s">
        <v>20</v>
      </c>
      <c r="D677" s="18">
        <v>3</v>
      </c>
      <c r="E677" s="18" t="s">
        <v>23</v>
      </c>
      <c r="F677" s="18" t="s">
        <v>24</v>
      </c>
      <c r="G677" s="18" t="s">
        <v>10</v>
      </c>
      <c r="H677" s="18">
        <v>4530</v>
      </c>
      <c r="I677" s="22" t="s">
        <v>43</v>
      </c>
      <c r="J677" s="18">
        <v>30</v>
      </c>
      <c r="K677" s="18" t="s">
        <v>11</v>
      </c>
      <c r="L677" s="18">
        <v>1</v>
      </c>
      <c r="M677" s="22" t="s">
        <v>34</v>
      </c>
    </row>
    <row r="678" spans="1:13" x14ac:dyDescent="0.35">
      <c r="A678" s="18">
        <v>33</v>
      </c>
      <c r="B678" s="22" t="s">
        <v>39</v>
      </c>
      <c r="C678" s="18" t="s">
        <v>19</v>
      </c>
      <c r="D678" s="18">
        <v>2</v>
      </c>
      <c r="E678" s="18" t="s">
        <v>21</v>
      </c>
      <c r="F678" s="18" t="s">
        <v>24</v>
      </c>
      <c r="G678" s="18" t="s">
        <v>10</v>
      </c>
      <c r="H678" s="18">
        <v>5150</v>
      </c>
      <c r="I678" s="22" t="s">
        <v>42</v>
      </c>
      <c r="J678" s="18">
        <v>24</v>
      </c>
      <c r="K678" s="18" t="s">
        <v>13</v>
      </c>
      <c r="L678" s="18">
        <v>1</v>
      </c>
      <c r="M678" s="22" t="s">
        <v>34</v>
      </c>
    </row>
    <row r="679" spans="1:13" x14ac:dyDescent="0.35">
      <c r="A679" s="18">
        <v>24</v>
      </c>
      <c r="B679" s="22" t="s">
        <v>38</v>
      </c>
      <c r="C679" s="18" t="s">
        <v>19</v>
      </c>
      <c r="D679" s="18">
        <v>2</v>
      </c>
      <c r="E679" s="18" t="s">
        <v>21</v>
      </c>
      <c r="F679" s="18" t="s">
        <v>27</v>
      </c>
      <c r="G679" s="18" t="s">
        <v>27</v>
      </c>
      <c r="H679" s="18">
        <v>5595</v>
      </c>
      <c r="I679" s="22" t="s">
        <v>42</v>
      </c>
      <c r="J679" s="18">
        <v>72</v>
      </c>
      <c r="K679" s="18" t="s">
        <v>11</v>
      </c>
      <c r="L679" s="18">
        <v>2</v>
      </c>
      <c r="M679" s="22" t="s">
        <v>45</v>
      </c>
    </row>
    <row r="680" spans="1:13" x14ac:dyDescent="0.35">
      <c r="A680" s="18">
        <v>64</v>
      </c>
      <c r="B680" s="22" t="s">
        <v>37</v>
      </c>
      <c r="C680" s="18" t="s">
        <v>19</v>
      </c>
      <c r="D680" s="18">
        <v>1</v>
      </c>
      <c r="E680" s="18" t="s">
        <v>23</v>
      </c>
      <c r="F680" s="18" t="s">
        <v>24</v>
      </c>
      <c r="G680" s="18" t="s">
        <v>24</v>
      </c>
      <c r="H680" s="18">
        <v>2384</v>
      </c>
      <c r="I680" s="22" t="s">
        <v>43</v>
      </c>
      <c r="J680" s="18">
        <v>24</v>
      </c>
      <c r="K680" s="18" t="s">
        <v>11</v>
      </c>
      <c r="L680" s="18">
        <v>1</v>
      </c>
      <c r="M680" s="22" t="s">
        <v>34</v>
      </c>
    </row>
    <row r="681" spans="1:13" x14ac:dyDescent="0.35">
      <c r="A681" s="18">
        <v>26</v>
      </c>
      <c r="B681" s="22" t="s">
        <v>38</v>
      </c>
      <c r="C681" s="18" t="s">
        <v>20</v>
      </c>
      <c r="D681" s="18">
        <v>2</v>
      </c>
      <c r="E681" s="18" t="s">
        <v>21</v>
      </c>
      <c r="F681" s="18" t="s">
        <v>24</v>
      </c>
      <c r="G681" s="18" t="s">
        <v>10</v>
      </c>
      <c r="H681" s="18">
        <v>1453</v>
      </c>
      <c r="I681" s="22" t="s">
        <v>46</v>
      </c>
      <c r="J681" s="18">
        <v>18</v>
      </c>
      <c r="K681" s="18" t="s">
        <v>11</v>
      </c>
      <c r="L681" s="18">
        <v>1</v>
      </c>
      <c r="M681" s="22" t="s">
        <v>34</v>
      </c>
    </row>
    <row r="682" spans="1:13" x14ac:dyDescent="0.35">
      <c r="A682" s="18">
        <v>56</v>
      </c>
      <c r="B682" s="22" t="s">
        <v>37</v>
      </c>
      <c r="C682" s="18" t="s">
        <v>20</v>
      </c>
      <c r="D682" s="18">
        <v>2</v>
      </c>
      <c r="E682" s="18" t="s">
        <v>21</v>
      </c>
      <c r="F682" s="18" t="s">
        <v>24</v>
      </c>
      <c r="G682" s="18" t="s">
        <v>10</v>
      </c>
      <c r="H682" s="18">
        <v>1538</v>
      </c>
      <c r="I682" s="22" t="s">
        <v>46</v>
      </c>
      <c r="J682" s="18">
        <v>6</v>
      </c>
      <c r="K682" s="18" t="s">
        <v>12</v>
      </c>
      <c r="L682" s="18">
        <v>1</v>
      </c>
      <c r="M682" s="22" t="s">
        <v>34</v>
      </c>
    </row>
    <row r="683" spans="1:13" x14ac:dyDescent="0.35">
      <c r="A683" s="18">
        <v>37</v>
      </c>
      <c r="B683" s="22" t="s">
        <v>39</v>
      </c>
      <c r="C683" s="18" t="s">
        <v>19</v>
      </c>
      <c r="D683" s="18">
        <v>2</v>
      </c>
      <c r="E683" s="18" t="s">
        <v>22</v>
      </c>
      <c r="F683" s="18" t="s">
        <v>10</v>
      </c>
      <c r="G683" s="18" t="s">
        <v>10</v>
      </c>
      <c r="H683" s="18">
        <v>2279</v>
      </c>
      <c r="I683" s="22" t="s">
        <v>43</v>
      </c>
      <c r="J683" s="18">
        <v>12</v>
      </c>
      <c r="K683" s="18" t="s">
        <v>11</v>
      </c>
      <c r="L683" s="18">
        <v>1</v>
      </c>
      <c r="M683" s="22" t="s">
        <v>34</v>
      </c>
    </row>
    <row r="684" spans="1:13" x14ac:dyDescent="0.35">
      <c r="A684" s="18">
        <v>33</v>
      </c>
      <c r="B684" s="22" t="s">
        <v>39</v>
      </c>
      <c r="C684" s="18" t="s">
        <v>19</v>
      </c>
      <c r="D684" s="18">
        <v>2</v>
      </c>
      <c r="E684" s="18" t="s">
        <v>21</v>
      </c>
      <c r="F684" s="18" t="s">
        <v>24</v>
      </c>
      <c r="G684" s="18" t="s">
        <v>10</v>
      </c>
      <c r="H684" s="18">
        <v>1478</v>
      </c>
      <c r="I684" s="22" t="s">
        <v>46</v>
      </c>
      <c r="J684" s="18">
        <v>15</v>
      </c>
      <c r="K684" s="18" t="s">
        <v>11</v>
      </c>
      <c r="L684" s="18">
        <v>1</v>
      </c>
      <c r="M684" s="22" t="s">
        <v>34</v>
      </c>
    </row>
    <row r="685" spans="1:13" x14ac:dyDescent="0.35">
      <c r="A685" s="18">
        <v>47</v>
      </c>
      <c r="B685" s="22" t="s">
        <v>39</v>
      </c>
      <c r="C685" s="18" t="s">
        <v>19</v>
      </c>
      <c r="D685" s="18">
        <v>2</v>
      </c>
      <c r="E685" s="18" t="s">
        <v>22</v>
      </c>
      <c r="F685" s="18" t="s">
        <v>24</v>
      </c>
      <c r="G685" s="18" t="s">
        <v>10</v>
      </c>
      <c r="H685" s="18">
        <v>5103</v>
      </c>
      <c r="I685" s="22" t="s">
        <v>42</v>
      </c>
      <c r="J685" s="18">
        <v>24</v>
      </c>
      <c r="K685" s="18" t="s">
        <v>11</v>
      </c>
      <c r="L685" s="18">
        <v>1</v>
      </c>
      <c r="M685" s="22" t="s">
        <v>34</v>
      </c>
    </row>
    <row r="686" spans="1:13" x14ac:dyDescent="0.35">
      <c r="A686" s="18">
        <v>31</v>
      </c>
      <c r="B686" s="22" t="s">
        <v>39</v>
      </c>
      <c r="C686" s="18" t="s">
        <v>19</v>
      </c>
      <c r="D686" s="18">
        <v>1</v>
      </c>
      <c r="E686" s="18" t="s">
        <v>21</v>
      </c>
      <c r="F686" s="18" t="s">
        <v>27</v>
      </c>
      <c r="G686" s="18" t="s">
        <v>27</v>
      </c>
      <c r="H686" s="18">
        <v>9857</v>
      </c>
      <c r="I686" s="22" t="s">
        <v>42</v>
      </c>
      <c r="J686" s="18">
        <v>36</v>
      </c>
      <c r="K686" s="18" t="s">
        <v>15</v>
      </c>
      <c r="L686" s="18">
        <v>1</v>
      </c>
      <c r="M686" s="22" t="s">
        <v>34</v>
      </c>
    </row>
    <row r="687" spans="1:13" x14ac:dyDescent="0.35">
      <c r="A687" s="18">
        <v>34</v>
      </c>
      <c r="B687" s="22" t="s">
        <v>39</v>
      </c>
      <c r="C687" s="18" t="s">
        <v>19</v>
      </c>
      <c r="D687" s="18">
        <v>2</v>
      </c>
      <c r="E687" s="18" t="s">
        <v>22</v>
      </c>
      <c r="F687" s="18" t="s">
        <v>10</v>
      </c>
      <c r="G687" s="18" t="s">
        <v>10</v>
      </c>
      <c r="H687" s="18">
        <v>6527</v>
      </c>
      <c r="I687" s="22" t="s">
        <v>42</v>
      </c>
      <c r="J687" s="18">
        <v>60</v>
      </c>
      <c r="K687" s="18" t="s">
        <v>14</v>
      </c>
      <c r="L687" s="18">
        <v>1</v>
      </c>
      <c r="M687" s="22" t="s">
        <v>34</v>
      </c>
    </row>
    <row r="688" spans="1:13" x14ac:dyDescent="0.35">
      <c r="A688" s="18">
        <v>27</v>
      </c>
      <c r="B688" s="22" t="s">
        <v>38</v>
      </c>
      <c r="C688" s="18" t="s">
        <v>19</v>
      </c>
      <c r="D688" s="18">
        <v>2</v>
      </c>
      <c r="E688" s="18" t="s">
        <v>21</v>
      </c>
      <c r="F688" s="18" t="s">
        <v>10</v>
      </c>
      <c r="G688" s="18" t="s">
        <v>26</v>
      </c>
      <c r="H688" s="18">
        <v>1347</v>
      </c>
      <c r="I688" s="22" t="s">
        <v>46</v>
      </c>
      <c r="J688" s="18">
        <v>10</v>
      </c>
      <c r="K688" s="18" t="s">
        <v>11</v>
      </c>
      <c r="L688" s="18">
        <v>1</v>
      </c>
      <c r="M688" s="22" t="s">
        <v>34</v>
      </c>
    </row>
    <row r="689" spans="1:13" x14ac:dyDescent="0.35">
      <c r="A689" s="18">
        <v>30</v>
      </c>
      <c r="B689" s="22" t="s">
        <v>39</v>
      </c>
      <c r="C689" s="18" t="s">
        <v>19</v>
      </c>
      <c r="D689" s="18">
        <v>2</v>
      </c>
      <c r="E689" s="18" t="s">
        <v>22</v>
      </c>
      <c r="F689" s="18" t="s">
        <v>27</v>
      </c>
      <c r="G689" s="18" t="s">
        <v>27</v>
      </c>
      <c r="H689" s="18">
        <v>2862</v>
      </c>
      <c r="I689" s="22" t="s">
        <v>43</v>
      </c>
      <c r="J689" s="18">
        <v>36</v>
      </c>
      <c r="K689" s="18" t="s">
        <v>14</v>
      </c>
      <c r="L689" s="18">
        <v>1</v>
      </c>
      <c r="M689" s="22" t="s">
        <v>34</v>
      </c>
    </row>
    <row r="690" spans="1:13" x14ac:dyDescent="0.35">
      <c r="A690" s="18">
        <v>35</v>
      </c>
      <c r="B690" s="22" t="s">
        <v>39</v>
      </c>
      <c r="C690" s="18" t="s">
        <v>19</v>
      </c>
      <c r="D690" s="18">
        <v>2</v>
      </c>
      <c r="E690" s="18" t="s">
        <v>21</v>
      </c>
      <c r="F690" s="18" t="s">
        <v>27</v>
      </c>
      <c r="G690" s="18" t="s">
        <v>10</v>
      </c>
      <c r="H690" s="18">
        <v>2753</v>
      </c>
      <c r="I690" s="22" t="s">
        <v>43</v>
      </c>
      <c r="J690" s="18">
        <v>9</v>
      </c>
      <c r="K690" s="18" t="s">
        <v>11</v>
      </c>
      <c r="L690" s="18">
        <v>1</v>
      </c>
      <c r="M690" s="22" t="s">
        <v>34</v>
      </c>
    </row>
    <row r="691" spans="1:13" x14ac:dyDescent="0.35">
      <c r="A691" s="18">
        <v>31</v>
      </c>
      <c r="B691" s="22" t="s">
        <v>39</v>
      </c>
      <c r="C691" s="18" t="s">
        <v>19</v>
      </c>
      <c r="D691" s="18">
        <v>2</v>
      </c>
      <c r="E691" s="18" t="s">
        <v>21</v>
      </c>
      <c r="F691" s="18" t="s">
        <v>26</v>
      </c>
      <c r="G691" s="18" t="s">
        <v>24</v>
      </c>
      <c r="H691" s="18">
        <v>3651</v>
      </c>
      <c r="I691" s="22" t="s">
        <v>43</v>
      </c>
      <c r="J691" s="18">
        <v>12</v>
      </c>
      <c r="K691" s="18" t="s">
        <v>14</v>
      </c>
      <c r="L691" s="18">
        <v>1</v>
      </c>
      <c r="M691" s="22" t="s">
        <v>34</v>
      </c>
    </row>
    <row r="692" spans="1:13" x14ac:dyDescent="0.35">
      <c r="A692" s="18">
        <v>25</v>
      </c>
      <c r="B692" s="22" t="s">
        <v>38</v>
      </c>
      <c r="C692" s="18" t="s">
        <v>19</v>
      </c>
      <c r="D692" s="18">
        <v>2</v>
      </c>
      <c r="E692" s="18" t="s">
        <v>21</v>
      </c>
      <c r="F692" s="18" t="s">
        <v>24</v>
      </c>
      <c r="G692" s="18" t="s">
        <v>24</v>
      </c>
      <c r="H692" s="18">
        <v>975</v>
      </c>
      <c r="I692" s="22" t="s">
        <v>46</v>
      </c>
      <c r="J692" s="18">
        <v>15</v>
      </c>
      <c r="K692" s="18" t="s">
        <v>13</v>
      </c>
      <c r="L692" s="18">
        <v>1</v>
      </c>
      <c r="M692" s="22" t="s">
        <v>34</v>
      </c>
    </row>
    <row r="693" spans="1:13" x14ac:dyDescent="0.35">
      <c r="A693" s="18">
        <v>25</v>
      </c>
      <c r="B693" s="22" t="s">
        <v>38</v>
      </c>
      <c r="C693" s="18" t="s">
        <v>20</v>
      </c>
      <c r="D693" s="18">
        <v>1</v>
      </c>
      <c r="E693" s="18" t="s">
        <v>21</v>
      </c>
      <c r="F693" s="18" t="s">
        <v>27</v>
      </c>
      <c r="G693" s="18" t="s">
        <v>27</v>
      </c>
      <c r="H693" s="18">
        <v>2631</v>
      </c>
      <c r="I693" s="22" t="s">
        <v>43</v>
      </c>
      <c r="J693" s="18">
        <v>15</v>
      </c>
      <c r="K693" s="18" t="s">
        <v>17</v>
      </c>
      <c r="L693" s="18">
        <v>1</v>
      </c>
      <c r="M693" s="22" t="s">
        <v>34</v>
      </c>
    </row>
    <row r="694" spans="1:13" x14ac:dyDescent="0.35">
      <c r="A694" s="18">
        <v>29</v>
      </c>
      <c r="B694" s="22" t="s">
        <v>38</v>
      </c>
      <c r="C694" s="18" t="s">
        <v>19</v>
      </c>
      <c r="D694" s="18">
        <v>2</v>
      </c>
      <c r="E694" s="18" t="s">
        <v>21</v>
      </c>
      <c r="F694" s="18" t="s">
        <v>27</v>
      </c>
      <c r="G694" s="18" t="s">
        <v>27</v>
      </c>
      <c r="H694" s="18">
        <v>2896</v>
      </c>
      <c r="I694" s="22" t="s">
        <v>43</v>
      </c>
      <c r="J694" s="18">
        <v>24</v>
      </c>
      <c r="K694" s="18" t="s">
        <v>11</v>
      </c>
      <c r="L694" s="18">
        <v>1</v>
      </c>
      <c r="M694" s="22" t="s">
        <v>34</v>
      </c>
    </row>
    <row r="695" spans="1:13" x14ac:dyDescent="0.35">
      <c r="A695" s="18">
        <v>44</v>
      </c>
      <c r="B695" s="22" t="s">
        <v>39</v>
      </c>
      <c r="C695" s="18" t="s">
        <v>19</v>
      </c>
      <c r="D695" s="18">
        <v>1</v>
      </c>
      <c r="E695" s="18" t="s">
        <v>21</v>
      </c>
      <c r="F695" s="18" t="s">
        <v>10</v>
      </c>
      <c r="G695" s="18" t="s">
        <v>24</v>
      </c>
      <c r="H695" s="18">
        <v>4716</v>
      </c>
      <c r="I695" s="22" t="s">
        <v>43</v>
      </c>
      <c r="J695" s="18">
        <v>6</v>
      </c>
      <c r="K695" s="18" t="s">
        <v>14</v>
      </c>
      <c r="L695" s="18">
        <v>1</v>
      </c>
      <c r="M695" s="22" t="s">
        <v>34</v>
      </c>
    </row>
    <row r="696" spans="1:13" x14ac:dyDescent="0.35">
      <c r="A696" s="18">
        <v>28</v>
      </c>
      <c r="B696" s="22" t="s">
        <v>38</v>
      </c>
      <c r="C696" s="18" t="s">
        <v>19</v>
      </c>
      <c r="D696" s="18">
        <v>2</v>
      </c>
      <c r="E696" s="18" t="s">
        <v>21</v>
      </c>
      <c r="F696" s="18" t="s">
        <v>24</v>
      </c>
      <c r="G696" s="18" t="s">
        <v>10</v>
      </c>
      <c r="H696" s="18">
        <v>2284</v>
      </c>
      <c r="I696" s="22" t="s">
        <v>43</v>
      </c>
      <c r="J696" s="18">
        <v>24</v>
      </c>
      <c r="K696" s="18" t="s">
        <v>11</v>
      </c>
      <c r="L696" s="18">
        <v>1</v>
      </c>
      <c r="M696" s="22" t="s">
        <v>34</v>
      </c>
    </row>
    <row r="697" spans="1:13" x14ac:dyDescent="0.35">
      <c r="A697" s="18">
        <v>50</v>
      </c>
      <c r="B697" s="22" t="s">
        <v>37</v>
      </c>
      <c r="C697" s="18" t="s">
        <v>19</v>
      </c>
      <c r="D697" s="18">
        <v>2</v>
      </c>
      <c r="E697" s="18" t="s">
        <v>23</v>
      </c>
      <c r="F697" s="18" t="s">
        <v>25</v>
      </c>
      <c r="G697" s="18" t="s">
        <v>10</v>
      </c>
      <c r="H697" s="18">
        <v>1236</v>
      </c>
      <c r="I697" s="22" t="s">
        <v>46</v>
      </c>
      <c r="J697" s="18">
        <v>6</v>
      </c>
      <c r="K697" s="18" t="s">
        <v>14</v>
      </c>
      <c r="L697" s="18">
        <v>1</v>
      </c>
      <c r="M697" s="22" t="s">
        <v>34</v>
      </c>
    </row>
    <row r="698" spans="1:13" x14ac:dyDescent="0.35">
      <c r="A698" s="18">
        <v>29</v>
      </c>
      <c r="B698" s="22" t="s">
        <v>38</v>
      </c>
      <c r="C698" s="18" t="s">
        <v>19</v>
      </c>
      <c r="D698" s="18">
        <v>2</v>
      </c>
      <c r="E698" s="18" t="s">
        <v>21</v>
      </c>
      <c r="F698" s="18" t="s">
        <v>24</v>
      </c>
      <c r="G698" s="18" t="s">
        <v>27</v>
      </c>
      <c r="H698" s="18">
        <v>1103</v>
      </c>
      <c r="I698" s="22" t="s">
        <v>46</v>
      </c>
      <c r="J698" s="18">
        <v>12</v>
      </c>
      <c r="K698" s="18" t="s">
        <v>11</v>
      </c>
      <c r="L698" s="18">
        <v>1</v>
      </c>
      <c r="M698" s="22" t="s">
        <v>34</v>
      </c>
    </row>
    <row r="699" spans="1:13" x14ac:dyDescent="0.35">
      <c r="A699" s="18">
        <v>38</v>
      </c>
      <c r="B699" s="22" t="s">
        <v>39</v>
      </c>
      <c r="C699" s="18" t="s">
        <v>20</v>
      </c>
      <c r="D699" s="18">
        <v>0</v>
      </c>
      <c r="E699" s="18" t="s">
        <v>21</v>
      </c>
      <c r="F699" s="18" t="s">
        <v>24</v>
      </c>
      <c r="G699" s="18" t="s">
        <v>10</v>
      </c>
      <c r="H699" s="18">
        <v>926</v>
      </c>
      <c r="I699" s="22" t="s">
        <v>46</v>
      </c>
      <c r="J699" s="18">
        <v>12</v>
      </c>
      <c r="K699" s="18" t="s">
        <v>14</v>
      </c>
      <c r="L699" s="18">
        <v>1</v>
      </c>
      <c r="M699" s="22" t="s">
        <v>34</v>
      </c>
    </row>
    <row r="700" spans="1:13" x14ac:dyDescent="0.35">
      <c r="A700" s="18">
        <v>24</v>
      </c>
      <c r="B700" s="22" t="s">
        <v>38</v>
      </c>
      <c r="C700" s="18" t="s">
        <v>19</v>
      </c>
      <c r="D700" s="18">
        <v>2</v>
      </c>
      <c r="E700" s="18" t="s">
        <v>21</v>
      </c>
      <c r="F700" s="18" t="s">
        <v>24</v>
      </c>
      <c r="G700" s="18" t="s">
        <v>10</v>
      </c>
      <c r="H700" s="18">
        <v>1800</v>
      </c>
      <c r="I700" s="22" t="s">
        <v>46</v>
      </c>
      <c r="J700" s="18">
        <v>18</v>
      </c>
      <c r="K700" s="18" t="s">
        <v>11</v>
      </c>
      <c r="L700" s="18">
        <v>1</v>
      </c>
      <c r="M700" s="22" t="s">
        <v>34</v>
      </c>
    </row>
    <row r="701" spans="1:13" x14ac:dyDescent="0.35">
      <c r="A701" s="18">
        <v>40</v>
      </c>
      <c r="B701" s="22" t="s">
        <v>39</v>
      </c>
      <c r="C701" s="18" t="s">
        <v>19</v>
      </c>
      <c r="D701" s="18">
        <v>3</v>
      </c>
      <c r="E701" s="18" t="s">
        <v>23</v>
      </c>
      <c r="F701" s="18" t="s">
        <v>24</v>
      </c>
      <c r="G701" s="18" t="s">
        <v>26</v>
      </c>
      <c r="H701" s="18">
        <v>1905</v>
      </c>
      <c r="I701" s="22" t="s">
        <v>46</v>
      </c>
      <c r="J701" s="18">
        <v>15</v>
      </c>
      <c r="K701" s="18" t="s">
        <v>12</v>
      </c>
      <c r="L701" s="18">
        <v>1</v>
      </c>
      <c r="M701" s="22" t="s">
        <v>34</v>
      </c>
    </row>
    <row r="702" spans="1:13" x14ac:dyDescent="0.35">
      <c r="A702" s="18">
        <v>29</v>
      </c>
      <c r="B702" s="22" t="s">
        <v>38</v>
      </c>
      <c r="C702" s="18" t="s">
        <v>20</v>
      </c>
      <c r="D702" s="18">
        <v>1</v>
      </c>
      <c r="E702" s="18" t="s">
        <v>23</v>
      </c>
      <c r="F702" s="18" t="s">
        <v>25</v>
      </c>
      <c r="G702" s="18" t="s">
        <v>10</v>
      </c>
      <c r="H702" s="18">
        <v>1123</v>
      </c>
      <c r="I702" s="22" t="s">
        <v>46</v>
      </c>
      <c r="J702" s="18">
        <v>12</v>
      </c>
      <c r="K702" s="18" t="s">
        <v>13</v>
      </c>
      <c r="L702" s="18">
        <v>2</v>
      </c>
      <c r="M702" s="22" t="s">
        <v>45</v>
      </c>
    </row>
    <row r="703" spans="1:13" x14ac:dyDescent="0.35">
      <c r="A703" s="18">
        <v>46</v>
      </c>
      <c r="B703" s="22" t="s">
        <v>39</v>
      </c>
      <c r="C703" s="18" t="s">
        <v>19</v>
      </c>
      <c r="D703" s="18">
        <v>2</v>
      </c>
      <c r="E703" s="18" t="s">
        <v>22</v>
      </c>
      <c r="F703" s="18" t="s">
        <v>24</v>
      </c>
      <c r="G703" s="18" t="s">
        <v>24</v>
      </c>
      <c r="H703" s="18">
        <v>6331</v>
      </c>
      <c r="I703" s="22" t="s">
        <v>42</v>
      </c>
      <c r="J703" s="18">
        <v>48</v>
      </c>
      <c r="K703" s="18" t="s">
        <v>14</v>
      </c>
      <c r="L703" s="18">
        <v>2</v>
      </c>
      <c r="M703" s="22" t="s">
        <v>45</v>
      </c>
    </row>
    <row r="704" spans="1:13" x14ac:dyDescent="0.35">
      <c r="A704" s="18">
        <v>47</v>
      </c>
      <c r="B704" s="22" t="s">
        <v>39</v>
      </c>
      <c r="C704" s="18" t="s">
        <v>20</v>
      </c>
      <c r="D704" s="18">
        <v>2</v>
      </c>
      <c r="E704" s="18" t="s">
        <v>22</v>
      </c>
      <c r="F704" s="18" t="s">
        <v>27</v>
      </c>
      <c r="G704" s="18" t="s">
        <v>26</v>
      </c>
      <c r="H704" s="18">
        <v>1377</v>
      </c>
      <c r="I704" s="22" t="s">
        <v>46</v>
      </c>
      <c r="J704" s="18">
        <v>24</v>
      </c>
      <c r="K704" s="18" t="s">
        <v>11</v>
      </c>
      <c r="L704" s="18">
        <v>1</v>
      </c>
      <c r="M704" s="22" t="s">
        <v>34</v>
      </c>
    </row>
    <row r="705" spans="1:13" x14ac:dyDescent="0.35">
      <c r="A705" s="18">
        <v>41</v>
      </c>
      <c r="B705" s="22" t="s">
        <v>39</v>
      </c>
      <c r="C705" s="18" t="s">
        <v>19</v>
      </c>
      <c r="D705" s="18">
        <v>2</v>
      </c>
      <c r="E705" s="18" t="s">
        <v>21</v>
      </c>
      <c r="F705" s="18" t="s">
        <v>27</v>
      </c>
      <c r="G705" s="18" t="s">
        <v>27</v>
      </c>
      <c r="H705" s="18">
        <v>2503</v>
      </c>
      <c r="I705" s="22" t="s">
        <v>43</v>
      </c>
      <c r="J705" s="18">
        <v>30</v>
      </c>
      <c r="K705" s="18" t="s">
        <v>15</v>
      </c>
      <c r="L705" s="18">
        <v>1</v>
      </c>
      <c r="M705" s="22" t="s">
        <v>34</v>
      </c>
    </row>
    <row r="706" spans="1:13" x14ac:dyDescent="0.35">
      <c r="A706" s="18">
        <v>32</v>
      </c>
      <c r="B706" s="22" t="s">
        <v>39</v>
      </c>
      <c r="C706" s="18" t="s">
        <v>20</v>
      </c>
      <c r="D706" s="18">
        <v>2</v>
      </c>
      <c r="E706" s="18" t="s">
        <v>21</v>
      </c>
      <c r="F706" s="18" t="s">
        <v>24</v>
      </c>
      <c r="G706" s="18" t="s">
        <v>27</v>
      </c>
      <c r="H706" s="18">
        <v>2528</v>
      </c>
      <c r="I706" s="22" t="s">
        <v>43</v>
      </c>
      <c r="J706" s="18">
        <v>27</v>
      </c>
      <c r="K706" s="18" t="s">
        <v>15</v>
      </c>
      <c r="L706" s="18">
        <v>1</v>
      </c>
      <c r="M706" s="22" t="s">
        <v>34</v>
      </c>
    </row>
    <row r="707" spans="1:13" x14ac:dyDescent="0.35">
      <c r="A707" s="18">
        <v>35</v>
      </c>
      <c r="B707" s="22" t="s">
        <v>39</v>
      </c>
      <c r="C707" s="18" t="s">
        <v>20</v>
      </c>
      <c r="D707" s="18">
        <v>2</v>
      </c>
      <c r="E707" s="18" t="s">
        <v>22</v>
      </c>
      <c r="F707" s="18" t="s">
        <v>25</v>
      </c>
      <c r="G707" s="18" t="s">
        <v>10</v>
      </c>
      <c r="H707" s="18">
        <v>5324</v>
      </c>
      <c r="I707" s="22" t="s">
        <v>42</v>
      </c>
      <c r="J707" s="18">
        <v>15</v>
      </c>
      <c r="K707" s="18" t="s">
        <v>14</v>
      </c>
      <c r="L707" s="18">
        <v>1</v>
      </c>
      <c r="M707" s="22" t="s">
        <v>34</v>
      </c>
    </row>
    <row r="708" spans="1:13" x14ac:dyDescent="0.35">
      <c r="A708" s="18">
        <v>24</v>
      </c>
      <c r="B708" s="22" t="s">
        <v>38</v>
      </c>
      <c r="C708" s="18" t="s">
        <v>19</v>
      </c>
      <c r="D708" s="18">
        <v>2</v>
      </c>
      <c r="E708" s="18" t="s">
        <v>21</v>
      </c>
      <c r="F708" s="18" t="s">
        <v>27</v>
      </c>
      <c r="G708" s="18" t="s">
        <v>27</v>
      </c>
      <c r="H708" s="18">
        <v>6560</v>
      </c>
      <c r="I708" s="22" t="s">
        <v>42</v>
      </c>
      <c r="J708" s="18">
        <v>48</v>
      </c>
      <c r="K708" s="18" t="s">
        <v>14</v>
      </c>
      <c r="L708" s="18">
        <v>2</v>
      </c>
      <c r="M708" s="22" t="s">
        <v>45</v>
      </c>
    </row>
    <row r="709" spans="1:13" x14ac:dyDescent="0.35">
      <c r="A709" s="18">
        <v>25</v>
      </c>
      <c r="B709" s="22" t="s">
        <v>38</v>
      </c>
      <c r="C709" s="18" t="s">
        <v>20</v>
      </c>
      <c r="D709" s="18">
        <v>2</v>
      </c>
      <c r="E709" s="18" t="s">
        <v>23</v>
      </c>
      <c r="F709" s="18" t="s">
        <v>24</v>
      </c>
      <c r="G709" s="18" t="s">
        <v>27</v>
      </c>
      <c r="H709" s="18">
        <v>2969</v>
      </c>
      <c r="I709" s="22" t="s">
        <v>43</v>
      </c>
      <c r="J709" s="18">
        <v>12</v>
      </c>
      <c r="K709" s="18" t="s">
        <v>13</v>
      </c>
      <c r="L709" s="18">
        <v>2</v>
      </c>
      <c r="M709" s="22" t="s">
        <v>45</v>
      </c>
    </row>
    <row r="710" spans="1:13" x14ac:dyDescent="0.35">
      <c r="A710" s="18">
        <v>25</v>
      </c>
      <c r="B710" s="22" t="s">
        <v>38</v>
      </c>
      <c r="C710" s="18" t="s">
        <v>20</v>
      </c>
      <c r="D710" s="18">
        <v>2</v>
      </c>
      <c r="E710" s="18" t="s">
        <v>21</v>
      </c>
      <c r="F710" s="18" t="s">
        <v>24</v>
      </c>
      <c r="G710" s="18" t="s">
        <v>27</v>
      </c>
      <c r="H710" s="18">
        <v>1206</v>
      </c>
      <c r="I710" s="22" t="s">
        <v>46</v>
      </c>
      <c r="J710" s="18">
        <v>9</v>
      </c>
      <c r="K710" s="18" t="s">
        <v>11</v>
      </c>
      <c r="L710" s="18">
        <v>1</v>
      </c>
      <c r="M710" s="22" t="s">
        <v>34</v>
      </c>
    </row>
    <row r="711" spans="1:13" x14ac:dyDescent="0.35">
      <c r="A711" s="18">
        <v>37</v>
      </c>
      <c r="B711" s="22" t="s">
        <v>39</v>
      </c>
      <c r="C711" s="18" t="s">
        <v>19</v>
      </c>
      <c r="D711" s="18">
        <v>1</v>
      </c>
      <c r="E711" s="18" t="s">
        <v>21</v>
      </c>
      <c r="F711" s="18" t="s">
        <v>24</v>
      </c>
      <c r="G711" s="18" t="s">
        <v>27</v>
      </c>
      <c r="H711" s="18">
        <v>2118</v>
      </c>
      <c r="I711" s="22" t="s">
        <v>43</v>
      </c>
      <c r="J711" s="18">
        <v>9</v>
      </c>
      <c r="K711" s="18" t="s">
        <v>11</v>
      </c>
      <c r="L711" s="18">
        <v>1</v>
      </c>
      <c r="M711" s="22" t="s">
        <v>34</v>
      </c>
    </row>
    <row r="712" spans="1:13" x14ac:dyDescent="0.35">
      <c r="A712" s="18">
        <v>32</v>
      </c>
      <c r="B712" s="22" t="s">
        <v>39</v>
      </c>
      <c r="C712" s="18" t="s">
        <v>19</v>
      </c>
      <c r="D712" s="18">
        <v>3</v>
      </c>
      <c r="E712" s="18" t="s">
        <v>21</v>
      </c>
      <c r="F712" s="18" t="s">
        <v>25</v>
      </c>
      <c r="G712" s="18" t="s">
        <v>10</v>
      </c>
      <c r="H712" s="18">
        <v>629</v>
      </c>
      <c r="I712" s="22" t="s">
        <v>46</v>
      </c>
      <c r="J712" s="18">
        <v>18</v>
      </c>
      <c r="K712" s="18" t="s">
        <v>11</v>
      </c>
      <c r="L712" s="18">
        <v>1</v>
      </c>
      <c r="M712" s="22" t="s">
        <v>34</v>
      </c>
    </row>
    <row r="713" spans="1:13" x14ac:dyDescent="0.35">
      <c r="A713" s="18">
        <v>35</v>
      </c>
      <c r="B713" s="22" t="s">
        <v>39</v>
      </c>
      <c r="C713" s="18" t="s">
        <v>20</v>
      </c>
      <c r="D713" s="18">
        <v>2</v>
      </c>
      <c r="E713" s="18" t="s">
        <v>22</v>
      </c>
      <c r="F713" s="18" t="s">
        <v>24</v>
      </c>
      <c r="G713" s="18" t="s">
        <v>24</v>
      </c>
      <c r="H713" s="18">
        <v>1198</v>
      </c>
      <c r="I713" s="22" t="s">
        <v>46</v>
      </c>
      <c r="J713" s="18">
        <v>6</v>
      </c>
      <c r="K713" s="18" t="s">
        <v>12</v>
      </c>
      <c r="L713" s="18">
        <v>2</v>
      </c>
      <c r="M713" s="22" t="s">
        <v>45</v>
      </c>
    </row>
    <row r="714" spans="1:13" x14ac:dyDescent="0.35">
      <c r="A714" s="18">
        <v>46</v>
      </c>
      <c r="B714" s="22" t="s">
        <v>39</v>
      </c>
      <c r="C714" s="18" t="s">
        <v>19</v>
      </c>
      <c r="D714" s="18">
        <v>3</v>
      </c>
      <c r="E714" s="18" t="s">
        <v>21</v>
      </c>
      <c r="F714" s="18" t="s">
        <v>10</v>
      </c>
      <c r="G714" s="18" t="s">
        <v>10</v>
      </c>
      <c r="H714" s="18">
        <v>2476</v>
      </c>
      <c r="I714" s="22" t="s">
        <v>43</v>
      </c>
      <c r="J714" s="18">
        <v>21</v>
      </c>
      <c r="K714" s="18" t="s">
        <v>14</v>
      </c>
      <c r="L714" s="18">
        <v>1</v>
      </c>
      <c r="M714" s="22" t="s">
        <v>34</v>
      </c>
    </row>
    <row r="715" spans="1:13" x14ac:dyDescent="0.35">
      <c r="A715" s="18">
        <v>25</v>
      </c>
      <c r="B715" s="22" t="s">
        <v>38</v>
      </c>
      <c r="C715" s="18" t="s">
        <v>19</v>
      </c>
      <c r="D715" s="18">
        <v>1</v>
      </c>
      <c r="E715" s="18" t="s">
        <v>21</v>
      </c>
      <c r="F715" s="18" t="s">
        <v>24</v>
      </c>
      <c r="G715" s="18" t="s">
        <v>24</v>
      </c>
      <c r="H715" s="18">
        <v>1138</v>
      </c>
      <c r="I715" s="22" t="s">
        <v>46</v>
      </c>
      <c r="J715" s="18">
        <v>9</v>
      </c>
      <c r="K715" s="18" t="s">
        <v>11</v>
      </c>
      <c r="L715" s="18">
        <v>1</v>
      </c>
      <c r="M715" s="22" t="s">
        <v>34</v>
      </c>
    </row>
    <row r="716" spans="1:13" x14ac:dyDescent="0.35">
      <c r="A716" s="18">
        <v>27</v>
      </c>
      <c r="B716" s="22" t="s">
        <v>38</v>
      </c>
      <c r="C716" s="18" t="s">
        <v>19</v>
      </c>
      <c r="D716" s="18">
        <v>3</v>
      </c>
      <c r="E716" s="18" t="s">
        <v>21</v>
      </c>
      <c r="F716" s="18" t="s">
        <v>24</v>
      </c>
      <c r="G716" s="18" t="s">
        <v>27</v>
      </c>
      <c r="H716" s="18">
        <v>14027</v>
      </c>
      <c r="I716" s="22" t="s">
        <v>42</v>
      </c>
      <c r="J716" s="18">
        <v>60</v>
      </c>
      <c r="K716" s="18" t="s">
        <v>14</v>
      </c>
      <c r="L716" s="18">
        <v>2</v>
      </c>
      <c r="M716" s="22" t="s">
        <v>45</v>
      </c>
    </row>
    <row r="717" spans="1:13" x14ac:dyDescent="0.35">
      <c r="A717" s="18">
        <v>63</v>
      </c>
      <c r="B717" s="22" t="s">
        <v>37</v>
      </c>
      <c r="C717" s="18" t="s">
        <v>19</v>
      </c>
      <c r="D717" s="18">
        <v>2</v>
      </c>
      <c r="E717" s="18" t="s">
        <v>21</v>
      </c>
      <c r="F717" s="18" t="s">
        <v>10</v>
      </c>
      <c r="G717" s="18" t="s">
        <v>10</v>
      </c>
      <c r="H717" s="18">
        <v>7596</v>
      </c>
      <c r="I717" s="22" t="s">
        <v>42</v>
      </c>
      <c r="J717" s="18">
        <v>30</v>
      </c>
      <c r="K717" s="18" t="s">
        <v>14</v>
      </c>
      <c r="L717" s="18">
        <v>1</v>
      </c>
      <c r="M717" s="22" t="s">
        <v>34</v>
      </c>
    </row>
    <row r="718" spans="1:13" x14ac:dyDescent="0.35">
      <c r="A718" s="18">
        <v>40</v>
      </c>
      <c r="B718" s="22" t="s">
        <v>39</v>
      </c>
      <c r="C718" s="18" t="s">
        <v>19</v>
      </c>
      <c r="D718" s="18">
        <v>2</v>
      </c>
      <c r="E718" s="18" t="s">
        <v>21</v>
      </c>
      <c r="F718" s="18" t="s">
        <v>10</v>
      </c>
      <c r="G718" s="18" t="s">
        <v>10</v>
      </c>
      <c r="H718" s="18">
        <v>3077</v>
      </c>
      <c r="I718" s="22" t="s">
        <v>43</v>
      </c>
      <c r="J718" s="18">
        <v>30</v>
      </c>
      <c r="K718" s="18" t="s">
        <v>11</v>
      </c>
      <c r="L718" s="18">
        <v>1</v>
      </c>
      <c r="M718" s="22" t="s">
        <v>34</v>
      </c>
    </row>
    <row r="719" spans="1:13" x14ac:dyDescent="0.35">
      <c r="A719" s="18">
        <v>32</v>
      </c>
      <c r="B719" s="22" t="s">
        <v>39</v>
      </c>
      <c r="C719" s="18" t="s">
        <v>19</v>
      </c>
      <c r="D719" s="18">
        <v>3</v>
      </c>
      <c r="E719" s="18" t="s">
        <v>22</v>
      </c>
      <c r="F719" s="18" t="s">
        <v>24</v>
      </c>
      <c r="G719" s="18" t="s">
        <v>10</v>
      </c>
      <c r="H719" s="18">
        <v>1505</v>
      </c>
      <c r="I719" s="22" t="s">
        <v>46</v>
      </c>
      <c r="J719" s="18">
        <v>18</v>
      </c>
      <c r="K719" s="18" t="s">
        <v>11</v>
      </c>
      <c r="L719" s="18">
        <v>1</v>
      </c>
      <c r="M719" s="22" t="s">
        <v>34</v>
      </c>
    </row>
    <row r="720" spans="1:13" x14ac:dyDescent="0.35">
      <c r="A720" s="18">
        <v>31</v>
      </c>
      <c r="B720" s="22" t="s">
        <v>39</v>
      </c>
      <c r="C720" s="18" t="s">
        <v>19</v>
      </c>
      <c r="D720" s="18">
        <v>2</v>
      </c>
      <c r="E720" s="18" t="s">
        <v>21</v>
      </c>
      <c r="F720" s="18" t="s">
        <v>10</v>
      </c>
      <c r="G720" s="18" t="s">
        <v>26</v>
      </c>
      <c r="H720" s="18">
        <v>3148</v>
      </c>
      <c r="I720" s="22" t="s">
        <v>43</v>
      </c>
      <c r="J720" s="18">
        <v>24</v>
      </c>
      <c r="K720" s="18" t="s">
        <v>11</v>
      </c>
      <c r="L720" s="18">
        <v>1</v>
      </c>
      <c r="M720" s="22" t="s">
        <v>34</v>
      </c>
    </row>
    <row r="721" spans="1:13" x14ac:dyDescent="0.35">
      <c r="A721" s="18">
        <v>31</v>
      </c>
      <c r="B721" s="22" t="s">
        <v>39</v>
      </c>
      <c r="C721" s="18" t="s">
        <v>19</v>
      </c>
      <c r="D721" s="18">
        <v>2</v>
      </c>
      <c r="E721" s="18" t="s">
        <v>21</v>
      </c>
      <c r="F721" s="18" t="s">
        <v>27</v>
      </c>
      <c r="G721" s="18" t="s">
        <v>27</v>
      </c>
      <c r="H721" s="18">
        <v>6148</v>
      </c>
      <c r="I721" s="22" t="s">
        <v>42</v>
      </c>
      <c r="J721" s="18">
        <v>20</v>
      </c>
      <c r="K721" s="18" t="s">
        <v>14</v>
      </c>
      <c r="L721" s="18">
        <v>1</v>
      </c>
      <c r="M721" s="22" t="s">
        <v>34</v>
      </c>
    </row>
    <row r="722" spans="1:13" x14ac:dyDescent="0.35">
      <c r="A722" s="18">
        <v>34</v>
      </c>
      <c r="B722" s="22" t="s">
        <v>39</v>
      </c>
      <c r="C722" s="18" t="s">
        <v>19</v>
      </c>
      <c r="D722" s="18">
        <v>3</v>
      </c>
      <c r="E722" s="18" t="s">
        <v>21</v>
      </c>
      <c r="F722" s="18" t="s">
        <v>24</v>
      </c>
      <c r="G722" s="18" t="s">
        <v>26</v>
      </c>
      <c r="H722" s="18">
        <v>1337</v>
      </c>
      <c r="I722" s="22" t="s">
        <v>46</v>
      </c>
      <c r="J722" s="18">
        <v>9</v>
      </c>
      <c r="K722" s="18" t="s">
        <v>11</v>
      </c>
      <c r="L722" s="18">
        <v>2</v>
      </c>
      <c r="M722" s="22" t="s">
        <v>45</v>
      </c>
    </row>
    <row r="723" spans="1:13" x14ac:dyDescent="0.35">
      <c r="A723" s="18">
        <v>24</v>
      </c>
      <c r="B723" s="22" t="s">
        <v>38</v>
      </c>
      <c r="C723" s="18" t="s">
        <v>20</v>
      </c>
      <c r="D723" s="18">
        <v>2</v>
      </c>
      <c r="E723" s="18" t="s">
        <v>23</v>
      </c>
      <c r="F723" s="18" t="s">
        <v>26</v>
      </c>
      <c r="G723" s="18" t="s">
        <v>27</v>
      </c>
      <c r="H723" s="18">
        <v>433</v>
      </c>
      <c r="I723" s="22" t="s">
        <v>46</v>
      </c>
      <c r="J723" s="18">
        <v>6</v>
      </c>
      <c r="K723" s="18" t="s">
        <v>12</v>
      </c>
      <c r="L723" s="18">
        <v>2</v>
      </c>
      <c r="M723" s="22" t="s">
        <v>45</v>
      </c>
    </row>
    <row r="724" spans="1:13" x14ac:dyDescent="0.35">
      <c r="A724" s="18">
        <v>24</v>
      </c>
      <c r="B724" s="22" t="s">
        <v>38</v>
      </c>
      <c r="C724" s="18" t="s">
        <v>20</v>
      </c>
      <c r="D724" s="18">
        <v>1</v>
      </c>
      <c r="E724" s="18" t="s">
        <v>21</v>
      </c>
      <c r="F724" s="18" t="s">
        <v>24</v>
      </c>
      <c r="G724" s="18" t="s">
        <v>24</v>
      </c>
      <c r="H724" s="18">
        <v>1228</v>
      </c>
      <c r="I724" s="22" t="s">
        <v>46</v>
      </c>
      <c r="J724" s="18">
        <v>12</v>
      </c>
      <c r="K724" s="18" t="s">
        <v>14</v>
      </c>
      <c r="L724" s="18">
        <v>2</v>
      </c>
      <c r="M724" s="22" t="s">
        <v>45</v>
      </c>
    </row>
    <row r="725" spans="1:13" x14ac:dyDescent="0.35">
      <c r="A725" s="18">
        <v>66</v>
      </c>
      <c r="B725" s="22" t="s">
        <v>37</v>
      </c>
      <c r="C725" s="18" t="s">
        <v>20</v>
      </c>
      <c r="D725" s="18">
        <v>1</v>
      </c>
      <c r="E725" s="18" t="s">
        <v>21</v>
      </c>
      <c r="F725" s="18" t="s">
        <v>25</v>
      </c>
      <c r="G725" s="18" t="s">
        <v>27</v>
      </c>
      <c r="H725" s="18">
        <v>790</v>
      </c>
      <c r="I725" s="22" t="s">
        <v>46</v>
      </c>
      <c r="J725" s="18">
        <v>9</v>
      </c>
      <c r="K725" s="18" t="s">
        <v>11</v>
      </c>
      <c r="L725" s="18">
        <v>1</v>
      </c>
      <c r="M725" s="22" t="s">
        <v>34</v>
      </c>
    </row>
    <row r="726" spans="1:13" x14ac:dyDescent="0.35">
      <c r="A726" s="18">
        <v>21</v>
      </c>
      <c r="B726" s="22" t="s">
        <v>38</v>
      </c>
      <c r="C726" s="18" t="s">
        <v>20</v>
      </c>
      <c r="D726" s="18">
        <v>2</v>
      </c>
      <c r="E726" s="18" t="s">
        <v>23</v>
      </c>
      <c r="F726" s="18" t="s">
        <v>24</v>
      </c>
      <c r="G726" s="18" t="s">
        <v>10</v>
      </c>
      <c r="H726" s="18">
        <v>2570</v>
      </c>
      <c r="I726" s="22" t="s">
        <v>43</v>
      </c>
      <c r="J726" s="18">
        <v>27</v>
      </c>
      <c r="K726" s="18" t="s">
        <v>14</v>
      </c>
      <c r="L726" s="18">
        <v>2</v>
      </c>
      <c r="M726" s="22" t="s">
        <v>45</v>
      </c>
    </row>
    <row r="727" spans="1:13" x14ac:dyDescent="0.35">
      <c r="A727" s="18">
        <v>41</v>
      </c>
      <c r="B727" s="22" t="s">
        <v>39</v>
      </c>
      <c r="C727" s="18" t="s">
        <v>20</v>
      </c>
      <c r="D727" s="18">
        <v>1</v>
      </c>
      <c r="E727" s="18" t="s">
        <v>21</v>
      </c>
      <c r="F727" s="18" t="s">
        <v>26</v>
      </c>
      <c r="G727" s="18" t="s">
        <v>10</v>
      </c>
      <c r="H727" s="18">
        <v>250</v>
      </c>
      <c r="I727" s="22" t="s">
        <v>46</v>
      </c>
      <c r="J727" s="18">
        <v>6</v>
      </c>
      <c r="K727" s="18" t="s">
        <v>14</v>
      </c>
      <c r="L727" s="18">
        <v>1</v>
      </c>
      <c r="M727" s="22" t="s">
        <v>34</v>
      </c>
    </row>
    <row r="728" spans="1:13" x14ac:dyDescent="0.35">
      <c r="A728" s="18">
        <v>47</v>
      </c>
      <c r="B728" s="22" t="s">
        <v>39</v>
      </c>
      <c r="C728" s="18" t="s">
        <v>19</v>
      </c>
      <c r="D728" s="18">
        <v>1</v>
      </c>
      <c r="E728" s="18" t="s">
        <v>21</v>
      </c>
      <c r="F728" s="18" t="s">
        <v>25</v>
      </c>
      <c r="G728" s="18" t="s">
        <v>10</v>
      </c>
      <c r="H728" s="18">
        <v>1316</v>
      </c>
      <c r="I728" s="22" t="s">
        <v>46</v>
      </c>
      <c r="J728" s="18">
        <v>15</v>
      </c>
      <c r="K728" s="18" t="s">
        <v>11</v>
      </c>
      <c r="L728" s="18">
        <v>1</v>
      </c>
      <c r="M728" s="22" t="s">
        <v>34</v>
      </c>
    </row>
    <row r="729" spans="1:13" x14ac:dyDescent="0.35">
      <c r="A729" s="18">
        <v>25</v>
      </c>
      <c r="B729" s="22" t="s">
        <v>38</v>
      </c>
      <c r="C729" s="18" t="s">
        <v>20</v>
      </c>
      <c r="D729" s="18">
        <v>2</v>
      </c>
      <c r="E729" s="18" t="s">
        <v>23</v>
      </c>
      <c r="F729" s="18" t="s">
        <v>24</v>
      </c>
      <c r="G729" s="18" t="s">
        <v>24</v>
      </c>
      <c r="H729" s="18">
        <v>1882</v>
      </c>
      <c r="I729" s="22" t="s">
        <v>46</v>
      </c>
      <c r="J729" s="18">
        <v>18</v>
      </c>
      <c r="K729" s="18" t="s">
        <v>11</v>
      </c>
      <c r="L729" s="18">
        <v>2</v>
      </c>
      <c r="M729" s="22" t="s">
        <v>45</v>
      </c>
    </row>
    <row r="730" spans="1:13" x14ac:dyDescent="0.35">
      <c r="A730" s="18">
        <v>59</v>
      </c>
      <c r="B730" s="22" t="s">
        <v>37</v>
      </c>
      <c r="C730" s="18" t="s">
        <v>20</v>
      </c>
      <c r="D730" s="18">
        <v>2</v>
      </c>
      <c r="E730" s="18" t="s">
        <v>23</v>
      </c>
      <c r="F730" s="18" t="s">
        <v>24</v>
      </c>
      <c r="G730" s="18" t="s">
        <v>27</v>
      </c>
      <c r="H730" s="18">
        <v>6416</v>
      </c>
      <c r="I730" s="22" t="s">
        <v>42</v>
      </c>
      <c r="J730" s="18">
        <v>48</v>
      </c>
      <c r="K730" s="18" t="s">
        <v>15</v>
      </c>
      <c r="L730" s="18">
        <v>2</v>
      </c>
      <c r="M730" s="22" t="s">
        <v>45</v>
      </c>
    </row>
    <row r="731" spans="1:13" x14ac:dyDescent="0.35">
      <c r="A731" s="18">
        <v>36</v>
      </c>
      <c r="B731" s="22" t="s">
        <v>39</v>
      </c>
      <c r="C731" s="18" t="s">
        <v>19</v>
      </c>
      <c r="D731" s="18">
        <v>2</v>
      </c>
      <c r="E731" s="18" t="s">
        <v>21</v>
      </c>
      <c r="F731" s="18" t="s">
        <v>26</v>
      </c>
      <c r="G731" s="18" t="s">
        <v>26</v>
      </c>
      <c r="H731" s="18">
        <v>1275</v>
      </c>
      <c r="I731" s="22" t="s">
        <v>46</v>
      </c>
      <c r="J731" s="18">
        <v>24</v>
      </c>
      <c r="K731" s="18" t="s">
        <v>15</v>
      </c>
      <c r="L731" s="18">
        <v>1</v>
      </c>
      <c r="M731" s="22" t="s">
        <v>34</v>
      </c>
    </row>
    <row r="732" spans="1:13" x14ac:dyDescent="0.35">
      <c r="A732" s="18">
        <v>33</v>
      </c>
      <c r="B732" s="22" t="s">
        <v>39</v>
      </c>
      <c r="C732" s="18" t="s">
        <v>19</v>
      </c>
      <c r="D732" s="18">
        <v>2</v>
      </c>
      <c r="E732" s="18" t="s">
        <v>21</v>
      </c>
      <c r="F732" s="18" t="s">
        <v>24</v>
      </c>
      <c r="G732" s="18" t="s">
        <v>27</v>
      </c>
      <c r="H732" s="18">
        <v>6403</v>
      </c>
      <c r="I732" s="22" t="s">
        <v>42</v>
      </c>
      <c r="J732" s="18">
        <v>24</v>
      </c>
      <c r="K732" s="18" t="s">
        <v>11</v>
      </c>
      <c r="L732" s="18">
        <v>1</v>
      </c>
      <c r="M732" s="22" t="s">
        <v>34</v>
      </c>
    </row>
    <row r="733" spans="1:13" x14ac:dyDescent="0.35">
      <c r="A733" s="18">
        <v>21</v>
      </c>
      <c r="B733" s="22" t="s">
        <v>38</v>
      </c>
      <c r="C733" s="18" t="s">
        <v>19</v>
      </c>
      <c r="D733" s="18">
        <v>1</v>
      </c>
      <c r="E733" s="18" t="s">
        <v>23</v>
      </c>
      <c r="F733" s="18" t="s">
        <v>24</v>
      </c>
      <c r="G733" s="18" t="s">
        <v>24</v>
      </c>
      <c r="H733" s="18">
        <v>1987</v>
      </c>
      <c r="I733" s="22" t="s">
        <v>46</v>
      </c>
      <c r="J733" s="18">
        <v>24</v>
      </c>
      <c r="K733" s="18" t="s">
        <v>11</v>
      </c>
      <c r="L733" s="18">
        <v>2</v>
      </c>
      <c r="M733" s="22" t="s">
        <v>45</v>
      </c>
    </row>
    <row r="734" spans="1:13" x14ac:dyDescent="0.35">
      <c r="A734" s="18">
        <v>44</v>
      </c>
      <c r="B734" s="22" t="s">
        <v>39</v>
      </c>
      <c r="C734" s="18" t="s">
        <v>20</v>
      </c>
      <c r="D734" s="18">
        <v>1</v>
      </c>
      <c r="E734" s="18" t="s">
        <v>21</v>
      </c>
      <c r="F734" s="18" t="s">
        <v>24</v>
      </c>
      <c r="G734" s="18" t="s">
        <v>27</v>
      </c>
      <c r="H734" s="18">
        <v>760</v>
      </c>
      <c r="I734" s="22" t="s">
        <v>46</v>
      </c>
      <c r="J734" s="18">
        <v>8</v>
      </c>
      <c r="K734" s="18" t="s">
        <v>11</v>
      </c>
      <c r="L734" s="18">
        <v>1</v>
      </c>
      <c r="M734" s="22" t="s">
        <v>34</v>
      </c>
    </row>
    <row r="735" spans="1:13" x14ac:dyDescent="0.35">
      <c r="A735" s="18">
        <v>28</v>
      </c>
      <c r="B735" s="22" t="s">
        <v>38</v>
      </c>
      <c r="C735" s="18" t="s">
        <v>20</v>
      </c>
      <c r="D735" s="18">
        <v>2</v>
      </c>
      <c r="E735" s="18" t="s">
        <v>23</v>
      </c>
      <c r="F735" s="18" t="s">
        <v>26</v>
      </c>
      <c r="G735" s="18" t="s">
        <v>10</v>
      </c>
      <c r="H735" s="18">
        <v>2603</v>
      </c>
      <c r="I735" s="22" t="s">
        <v>43</v>
      </c>
      <c r="J735" s="18">
        <v>24</v>
      </c>
      <c r="K735" s="18" t="s">
        <v>14</v>
      </c>
      <c r="L735" s="18">
        <v>1</v>
      </c>
      <c r="M735" s="22" t="s">
        <v>34</v>
      </c>
    </row>
    <row r="736" spans="1:13" x14ac:dyDescent="0.35">
      <c r="A736" s="18">
        <v>37</v>
      </c>
      <c r="B736" s="22" t="s">
        <v>39</v>
      </c>
      <c r="C736" s="18" t="s">
        <v>20</v>
      </c>
      <c r="D736" s="18">
        <v>2</v>
      </c>
      <c r="E736" s="18" t="s">
        <v>21</v>
      </c>
      <c r="F736" s="18" t="s">
        <v>24</v>
      </c>
      <c r="G736" s="18" t="s">
        <v>10</v>
      </c>
      <c r="H736" s="18">
        <v>3380</v>
      </c>
      <c r="I736" s="22" t="s">
        <v>43</v>
      </c>
      <c r="J736" s="18">
        <v>4</v>
      </c>
      <c r="K736" s="18" t="s">
        <v>14</v>
      </c>
      <c r="L736" s="18">
        <v>1</v>
      </c>
      <c r="M736" s="22" t="s">
        <v>34</v>
      </c>
    </row>
    <row r="737" spans="1:13" x14ac:dyDescent="0.35">
      <c r="A737" s="18">
        <v>29</v>
      </c>
      <c r="B737" s="22" t="s">
        <v>38</v>
      </c>
      <c r="C737" s="18" t="s">
        <v>20</v>
      </c>
      <c r="D737" s="18">
        <v>0</v>
      </c>
      <c r="E737" s="18" t="s">
        <v>21</v>
      </c>
      <c r="F737" s="18" t="s">
        <v>10</v>
      </c>
      <c r="G737" s="18" t="s">
        <v>27</v>
      </c>
      <c r="H737" s="18">
        <v>3990</v>
      </c>
      <c r="I737" s="22" t="s">
        <v>43</v>
      </c>
      <c r="J737" s="18">
        <v>36</v>
      </c>
      <c r="K737" s="18" t="s">
        <v>16</v>
      </c>
      <c r="L737" s="18">
        <v>1</v>
      </c>
      <c r="M737" s="22" t="s">
        <v>34</v>
      </c>
    </row>
    <row r="738" spans="1:13" x14ac:dyDescent="0.35">
      <c r="A738" s="18">
        <v>23</v>
      </c>
      <c r="B738" s="22" t="s">
        <v>38</v>
      </c>
      <c r="C738" s="18" t="s">
        <v>20</v>
      </c>
      <c r="D738" s="18">
        <v>3</v>
      </c>
      <c r="E738" s="18" t="s">
        <v>23</v>
      </c>
      <c r="F738" s="18" t="s">
        <v>24</v>
      </c>
      <c r="G738" s="18" t="s">
        <v>27</v>
      </c>
      <c r="H738" s="18">
        <v>11560</v>
      </c>
      <c r="I738" s="22" t="s">
        <v>42</v>
      </c>
      <c r="J738" s="18">
        <v>24</v>
      </c>
      <c r="K738" s="18" t="s">
        <v>14</v>
      </c>
      <c r="L738" s="18">
        <v>2</v>
      </c>
      <c r="M738" s="22" t="s">
        <v>45</v>
      </c>
    </row>
    <row r="739" spans="1:13" x14ac:dyDescent="0.35">
      <c r="A739" s="18">
        <v>35</v>
      </c>
      <c r="B739" s="22" t="s">
        <v>39</v>
      </c>
      <c r="C739" s="18" t="s">
        <v>19</v>
      </c>
      <c r="D739" s="18">
        <v>1</v>
      </c>
      <c r="E739" s="18" t="s">
        <v>21</v>
      </c>
      <c r="F739" s="18" t="s">
        <v>27</v>
      </c>
      <c r="G739" s="18" t="s">
        <v>24</v>
      </c>
      <c r="H739" s="18">
        <v>4380</v>
      </c>
      <c r="I739" s="22" t="s">
        <v>43</v>
      </c>
      <c r="J739" s="18">
        <v>18</v>
      </c>
      <c r="K739" s="18" t="s">
        <v>14</v>
      </c>
      <c r="L739" s="18">
        <v>1</v>
      </c>
      <c r="M739" s="22" t="s">
        <v>34</v>
      </c>
    </row>
    <row r="740" spans="1:13" x14ac:dyDescent="0.35">
      <c r="A740" s="18">
        <v>45</v>
      </c>
      <c r="B740" s="22" t="s">
        <v>39</v>
      </c>
      <c r="C740" s="18" t="s">
        <v>19</v>
      </c>
      <c r="D740" s="18">
        <v>3</v>
      </c>
      <c r="E740" s="18" t="s">
        <v>21</v>
      </c>
      <c r="F740" s="18" t="s">
        <v>24</v>
      </c>
      <c r="G740" s="18" t="s">
        <v>10</v>
      </c>
      <c r="H740" s="18">
        <v>6761</v>
      </c>
      <c r="I740" s="22" t="s">
        <v>42</v>
      </c>
      <c r="J740" s="18">
        <v>6</v>
      </c>
      <c r="K740" s="18" t="s">
        <v>14</v>
      </c>
      <c r="L740" s="18">
        <v>1</v>
      </c>
      <c r="M740" s="22" t="s">
        <v>34</v>
      </c>
    </row>
    <row r="741" spans="1:13" x14ac:dyDescent="0.35">
      <c r="A741" s="18">
        <v>26</v>
      </c>
      <c r="B741" s="22" t="s">
        <v>38</v>
      </c>
      <c r="C741" s="18" t="s">
        <v>20</v>
      </c>
      <c r="D741" s="18">
        <v>1</v>
      </c>
      <c r="E741" s="18" t="s">
        <v>23</v>
      </c>
      <c r="F741" s="18" t="s">
        <v>27</v>
      </c>
      <c r="G741" s="18" t="s">
        <v>27</v>
      </c>
      <c r="H741" s="18">
        <v>4280</v>
      </c>
      <c r="I741" s="22" t="s">
        <v>43</v>
      </c>
      <c r="J741" s="18">
        <v>30</v>
      </c>
      <c r="K741" s="18" t="s">
        <v>15</v>
      </c>
      <c r="L741" s="18">
        <v>2</v>
      </c>
      <c r="M741" s="22" t="s">
        <v>45</v>
      </c>
    </row>
    <row r="742" spans="1:13" x14ac:dyDescent="0.35">
      <c r="A742" s="18">
        <v>32</v>
      </c>
      <c r="B742" s="22" t="s">
        <v>39</v>
      </c>
      <c r="C742" s="18" t="s">
        <v>19</v>
      </c>
      <c r="D742" s="18">
        <v>2</v>
      </c>
      <c r="E742" s="18" t="s">
        <v>21</v>
      </c>
      <c r="F742" s="18" t="s">
        <v>27</v>
      </c>
      <c r="G742" s="18" t="s">
        <v>24</v>
      </c>
      <c r="H742" s="18">
        <v>2325</v>
      </c>
      <c r="I742" s="22" t="s">
        <v>43</v>
      </c>
      <c r="J742" s="18">
        <v>24</v>
      </c>
      <c r="K742" s="18" t="s">
        <v>14</v>
      </c>
      <c r="L742" s="18">
        <v>1</v>
      </c>
      <c r="M742" s="22" t="s">
        <v>34</v>
      </c>
    </row>
    <row r="743" spans="1:13" x14ac:dyDescent="0.35">
      <c r="A743" s="18">
        <v>23</v>
      </c>
      <c r="B743" s="22" t="s">
        <v>38</v>
      </c>
      <c r="C743" s="18" t="s">
        <v>19</v>
      </c>
      <c r="D743" s="18">
        <v>1</v>
      </c>
      <c r="E743" s="18" t="s">
        <v>21</v>
      </c>
      <c r="F743" s="18" t="s">
        <v>24</v>
      </c>
      <c r="G743" s="18" t="s">
        <v>27</v>
      </c>
      <c r="H743" s="18">
        <v>1048</v>
      </c>
      <c r="I743" s="22" t="s">
        <v>46</v>
      </c>
      <c r="J743" s="18">
        <v>10</v>
      </c>
      <c r="K743" s="18" t="s">
        <v>11</v>
      </c>
      <c r="L743" s="18">
        <v>1</v>
      </c>
      <c r="M743" s="22" t="s">
        <v>34</v>
      </c>
    </row>
    <row r="744" spans="1:13" x14ac:dyDescent="0.35">
      <c r="A744" s="18">
        <v>41</v>
      </c>
      <c r="B744" s="22" t="s">
        <v>39</v>
      </c>
      <c r="C744" s="18" t="s">
        <v>19</v>
      </c>
      <c r="D744" s="18">
        <v>2</v>
      </c>
      <c r="E744" s="18" t="s">
        <v>21</v>
      </c>
      <c r="F744" s="18" t="s">
        <v>10</v>
      </c>
      <c r="G744" s="18" t="s">
        <v>10</v>
      </c>
      <c r="H744" s="18">
        <v>3160</v>
      </c>
      <c r="I744" s="22" t="s">
        <v>43</v>
      </c>
      <c r="J744" s="18">
        <v>21</v>
      </c>
      <c r="K744" s="18" t="s">
        <v>11</v>
      </c>
      <c r="L744" s="18">
        <v>1</v>
      </c>
      <c r="M744" s="22" t="s">
        <v>34</v>
      </c>
    </row>
    <row r="745" spans="1:13" x14ac:dyDescent="0.35">
      <c r="A745" s="18">
        <v>22</v>
      </c>
      <c r="B745" s="22" t="s">
        <v>38</v>
      </c>
      <c r="C745" s="18" t="s">
        <v>19</v>
      </c>
      <c r="D745" s="18">
        <v>2</v>
      </c>
      <c r="E745" s="18" t="s">
        <v>21</v>
      </c>
      <c r="F745" s="18" t="s">
        <v>25</v>
      </c>
      <c r="G745" s="18" t="s">
        <v>24</v>
      </c>
      <c r="H745" s="18">
        <v>2483</v>
      </c>
      <c r="I745" s="22" t="s">
        <v>43</v>
      </c>
      <c r="J745" s="18">
        <v>24</v>
      </c>
      <c r="K745" s="18" t="s">
        <v>13</v>
      </c>
      <c r="L745" s="18">
        <v>1</v>
      </c>
      <c r="M745" s="22" t="s">
        <v>34</v>
      </c>
    </row>
    <row r="746" spans="1:13" x14ac:dyDescent="0.35">
      <c r="A746" s="18">
        <v>30</v>
      </c>
      <c r="B746" s="22" t="s">
        <v>39</v>
      </c>
      <c r="C746" s="18" t="s">
        <v>19</v>
      </c>
      <c r="D746" s="18">
        <v>3</v>
      </c>
      <c r="E746" s="18" t="s">
        <v>21</v>
      </c>
      <c r="F746" s="18" t="s">
        <v>10</v>
      </c>
      <c r="G746" s="18" t="s">
        <v>24</v>
      </c>
      <c r="H746" s="18">
        <v>14179</v>
      </c>
      <c r="I746" s="22" t="s">
        <v>42</v>
      </c>
      <c r="J746" s="18">
        <v>39</v>
      </c>
      <c r="K746" s="18" t="s">
        <v>13</v>
      </c>
      <c r="L746" s="18">
        <v>1</v>
      </c>
      <c r="M746" s="22" t="s">
        <v>34</v>
      </c>
    </row>
    <row r="747" spans="1:13" x14ac:dyDescent="0.35">
      <c r="A747" s="18">
        <v>28</v>
      </c>
      <c r="B747" s="22" t="s">
        <v>38</v>
      </c>
      <c r="C747" s="18" t="s">
        <v>19</v>
      </c>
      <c r="D747" s="18">
        <v>1</v>
      </c>
      <c r="E747" s="18" t="s">
        <v>21</v>
      </c>
      <c r="F747" s="18" t="s">
        <v>24</v>
      </c>
      <c r="G747" s="18" t="s">
        <v>24</v>
      </c>
      <c r="H747" s="18">
        <v>1797</v>
      </c>
      <c r="I747" s="22" t="s">
        <v>46</v>
      </c>
      <c r="J747" s="18">
        <v>13</v>
      </c>
      <c r="K747" s="18" t="s">
        <v>15</v>
      </c>
      <c r="L747" s="18">
        <v>1</v>
      </c>
      <c r="M747" s="22" t="s">
        <v>34</v>
      </c>
    </row>
    <row r="748" spans="1:13" x14ac:dyDescent="0.35">
      <c r="A748" s="18">
        <v>23</v>
      </c>
      <c r="B748" s="22" t="s">
        <v>38</v>
      </c>
      <c r="C748" s="18" t="s">
        <v>20</v>
      </c>
      <c r="D748" s="18">
        <v>2</v>
      </c>
      <c r="E748" s="18" t="s">
        <v>23</v>
      </c>
      <c r="F748" s="18" t="s">
        <v>24</v>
      </c>
      <c r="G748" s="18" t="s">
        <v>24</v>
      </c>
      <c r="H748" s="18">
        <v>2511</v>
      </c>
      <c r="I748" s="22" t="s">
        <v>43</v>
      </c>
      <c r="J748" s="18">
        <v>15</v>
      </c>
      <c r="K748" s="18" t="s">
        <v>14</v>
      </c>
      <c r="L748" s="18">
        <v>1</v>
      </c>
      <c r="M748" s="22" t="s">
        <v>34</v>
      </c>
    </row>
    <row r="749" spans="1:13" x14ac:dyDescent="0.35">
      <c r="A749" s="18">
        <v>37</v>
      </c>
      <c r="B749" s="22" t="s">
        <v>39</v>
      </c>
      <c r="C749" s="18" t="s">
        <v>20</v>
      </c>
      <c r="D749" s="18">
        <v>1</v>
      </c>
      <c r="E749" s="18" t="s">
        <v>21</v>
      </c>
      <c r="F749" s="18" t="s">
        <v>24</v>
      </c>
      <c r="G749" s="18" t="s">
        <v>24</v>
      </c>
      <c r="H749" s="18">
        <v>1274</v>
      </c>
      <c r="I749" s="22" t="s">
        <v>46</v>
      </c>
      <c r="J749" s="18">
        <v>12</v>
      </c>
      <c r="K749" s="18" t="s">
        <v>14</v>
      </c>
      <c r="L749" s="18">
        <v>2</v>
      </c>
      <c r="M749" s="22" t="s">
        <v>45</v>
      </c>
    </row>
    <row r="750" spans="1:13" x14ac:dyDescent="0.35">
      <c r="A750" s="18">
        <v>26</v>
      </c>
      <c r="B750" s="22" t="s">
        <v>38</v>
      </c>
      <c r="C750" s="18" t="s">
        <v>19</v>
      </c>
      <c r="D750" s="18">
        <v>2</v>
      </c>
      <c r="E750" s="18" t="s">
        <v>21</v>
      </c>
      <c r="F750" s="18" t="s">
        <v>10</v>
      </c>
      <c r="G750" s="18" t="s">
        <v>10</v>
      </c>
      <c r="H750" s="18">
        <v>5248</v>
      </c>
      <c r="I750" s="22" t="s">
        <v>42</v>
      </c>
      <c r="J750" s="18">
        <v>21</v>
      </c>
      <c r="K750" s="18" t="s">
        <v>14</v>
      </c>
      <c r="L750" s="18">
        <v>1</v>
      </c>
      <c r="M750" s="22" t="s">
        <v>34</v>
      </c>
    </row>
    <row r="751" spans="1:13" x14ac:dyDescent="0.35">
      <c r="A751" s="18">
        <v>33</v>
      </c>
      <c r="B751" s="22" t="s">
        <v>39</v>
      </c>
      <c r="C751" s="18" t="s">
        <v>19</v>
      </c>
      <c r="D751" s="18">
        <v>2</v>
      </c>
      <c r="E751" s="18" t="s">
        <v>21</v>
      </c>
      <c r="F751" s="18" t="s">
        <v>24</v>
      </c>
      <c r="G751" s="18" t="s">
        <v>10</v>
      </c>
      <c r="H751" s="18">
        <v>3029</v>
      </c>
      <c r="I751" s="22" t="s">
        <v>43</v>
      </c>
      <c r="J751" s="18">
        <v>15</v>
      </c>
      <c r="K751" s="18" t="s">
        <v>14</v>
      </c>
      <c r="L751" s="18">
        <v>1</v>
      </c>
      <c r="M751" s="22" t="s">
        <v>34</v>
      </c>
    </row>
    <row r="752" spans="1:13" x14ac:dyDescent="0.35">
      <c r="A752" s="18">
        <v>49</v>
      </c>
      <c r="B752" s="22" t="s">
        <v>39</v>
      </c>
      <c r="C752" s="18" t="s">
        <v>20</v>
      </c>
      <c r="D752" s="18">
        <v>2</v>
      </c>
      <c r="E752" s="18" t="s">
        <v>21</v>
      </c>
      <c r="F752" s="18" t="s">
        <v>24</v>
      </c>
      <c r="G752" s="18" t="s">
        <v>24</v>
      </c>
      <c r="H752" s="18">
        <v>428</v>
      </c>
      <c r="I752" s="22" t="s">
        <v>46</v>
      </c>
      <c r="J752" s="18">
        <v>6</v>
      </c>
      <c r="K752" s="18" t="s">
        <v>13</v>
      </c>
      <c r="L752" s="18">
        <v>1</v>
      </c>
      <c r="M752" s="22" t="s">
        <v>34</v>
      </c>
    </row>
    <row r="753" spans="1:13" x14ac:dyDescent="0.35">
      <c r="A753" s="18">
        <v>23</v>
      </c>
      <c r="B753" s="22" t="s">
        <v>38</v>
      </c>
      <c r="C753" s="18" t="s">
        <v>20</v>
      </c>
      <c r="D753" s="18">
        <v>1</v>
      </c>
      <c r="E753" s="18" t="s">
        <v>21</v>
      </c>
      <c r="F753" s="18" t="s">
        <v>24</v>
      </c>
      <c r="G753" s="18" t="s">
        <v>24</v>
      </c>
      <c r="H753" s="18">
        <v>976</v>
      </c>
      <c r="I753" s="22" t="s">
        <v>46</v>
      </c>
      <c r="J753" s="18">
        <v>18</v>
      </c>
      <c r="K753" s="18" t="s">
        <v>14</v>
      </c>
      <c r="L753" s="18">
        <v>2</v>
      </c>
      <c r="M753" s="22" t="s">
        <v>45</v>
      </c>
    </row>
    <row r="754" spans="1:13" x14ac:dyDescent="0.35">
      <c r="A754" s="18">
        <v>23</v>
      </c>
      <c r="B754" s="22" t="s">
        <v>38</v>
      </c>
      <c r="C754" s="18" t="s">
        <v>20</v>
      </c>
      <c r="D754" s="18">
        <v>1</v>
      </c>
      <c r="E754" s="18" t="s">
        <v>23</v>
      </c>
      <c r="F754" s="18" t="s">
        <v>27</v>
      </c>
      <c r="G754" s="18" t="s">
        <v>27</v>
      </c>
      <c r="H754" s="18">
        <v>841</v>
      </c>
      <c r="I754" s="22" t="s">
        <v>46</v>
      </c>
      <c r="J754" s="18">
        <v>12</v>
      </c>
      <c r="K754" s="18" t="s">
        <v>15</v>
      </c>
      <c r="L754" s="18">
        <v>1</v>
      </c>
      <c r="M754" s="22" t="s">
        <v>34</v>
      </c>
    </row>
    <row r="755" spans="1:13" x14ac:dyDescent="0.35">
      <c r="A755" s="18">
        <v>25</v>
      </c>
      <c r="B755" s="22" t="s">
        <v>38</v>
      </c>
      <c r="C755" s="18" t="s">
        <v>20</v>
      </c>
      <c r="D755" s="18">
        <v>2</v>
      </c>
      <c r="E755" s="18" t="s">
        <v>21</v>
      </c>
      <c r="F755" s="18" t="s">
        <v>24</v>
      </c>
      <c r="G755" s="18" t="s">
        <v>10</v>
      </c>
      <c r="H755" s="18">
        <v>5771</v>
      </c>
      <c r="I755" s="22" t="s">
        <v>42</v>
      </c>
      <c r="J755" s="18">
        <v>30</v>
      </c>
      <c r="K755" s="18" t="s">
        <v>11</v>
      </c>
      <c r="L755" s="18">
        <v>1</v>
      </c>
      <c r="M755" s="22" t="s">
        <v>34</v>
      </c>
    </row>
    <row r="756" spans="1:13" x14ac:dyDescent="0.35">
      <c r="A756" s="18">
        <v>55</v>
      </c>
      <c r="B756" s="22" t="s">
        <v>37</v>
      </c>
      <c r="C756" s="18" t="s">
        <v>19</v>
      </c>
      <c r="D756" s="18">
        <v>2</v>
      </c>
      <c r="E756" s="18" t="s">
        <v>22</v>
      </c>
      <c r="F756" s="18" t="s">
        <v>26</v>
      </c>
      <c r="G756" s="18" t="s">
        <v>10</v>
      </c>
      <c r="H756" s="18">
        <v>1555</v>
      </c>
      <c r="I756" s="22" t="s">
        <v>46</v>
      </c>
      <c r="J756" s="18">
        <v>12</v>
      </c>
      <c r="K756" s="18" t="s">
        <v>17</v>
      </c>
      <c r="L756" s="18">
        <v>2</v>
      </c>
      <c r="M756" s="22" t="s">
        <v>45</v>
      </c>
    </row>
    <row r="757" spans="1:13" x14ac:dyDescent="0.35">
      <c r="A757" s="18">
        <v>32</v>
      </c>
      <c r="B757" s="22" t="s">
        <v>39</v>
      </c>
      <c r="C757" s="18" t="s">
        <v>20</v>
      </c>
      <c r="D757" s="18">
        <v>2</v>
      </c>
      <c r="E757" s="18" t="s">
        <v>23</v>
      </c>
      <c r="F757" s="18" t="s">
        <v>10</v>
      </c>
      <c r="G757" s="18" t="s">
        <v>24</v>
      </c>
      <c r="H757" s="18">
        <v>1285</v>
      </c>
      <c r="I757" s="22" t="s">
        <v>46</v>
      </c>
      <c r="J757" s="18">
        <v>24</v>
      </c>
      <c r="K757" s="18" t="s">
        <v>14</v>
      </c>
      <c r="L757" s="18">
        <v>2</v>
      </c>
      <c r="M757" s="22" t="s">
        <v>45</v>
      </c>
    </row>
    <row r="758" spans="1:13" x14ac:dyDescent="0.35">
      <c r="A758" s="18">
        <v>74</v>
      </c>
      <c r="B758" s="22" t="s">
        <v>37</v>
      </c>
      <c r="C758" s="18" t="s">
        <v>19</v>
      </c>
      <c r="D758" s="18">
        <v>0</v>
      </c>
      <c r="E758" s="18" t="s">
        <v>21</v>
      </c>
      <c r="F758" s="18" t="s">
        <v>24</v>
      </c>
      <c r="G758" s="18" t="s">
        <v>26</v>
      </c>
      <c r="H758" s="18">
        <v>1299</v>
      </c>
      <c r="I758" s="22" t="s">
        <v>46</v>
      </c>
      <c r="J758" s="18">
        <v>6</v>
      </c>
      <c r="K758" s="18" t="s">
        <v>14</v>
      </c>
      <c r="L758" s="18">
        <v>1</v>
      </c>
      <c r="M758" s="22" t="s">
        <v>34</v>
      </c>
    </row>
    <row r="759" spans="1:13" x14ac:dyDescent="0.35">
      <c r="A759" s="18">
        <v>39</v>
      </c>
      <c r="B759" s="22" t="s">
        <v>39</v>
      </c>
      <c r="C759" s="18" t="s">
        <v>19</v>
      </c>
      <c r="D759" s="18">
        <v>2</v>
      </c>
      <c r="E759" s="18" t="s">
        <v>22</v>
      </c>
      <c r="F759" s="18" t="s">
        <v>10</v>
      </c>
      <c r="G759" s="18" t="s">
        <v>26</v>
      </c>
      <c r="H759" s="18">
        <v>1271</v>
      </c>
      <c r="I759" s="22" t="s">
        <v>46</v>
      </c>
      <c r="J759" s="18">
        <v>15</v>
      </c>
      <c r="K759" s="18" t="s">
        <v>11</v>
      </c>
      <c r="L759" s="18">
        <v>2</v>
      </c>
      <c r="M759" s="22" t="s">
        <v>45</v>
      </c>
    </row>
    <row r="760" spans="1:13" x14ac:dyDescent="0.35">
      <c r="A760" s="18">
        <v>31</v>
      </c>
      <c r="B760" s="22" t="s">
        <v>39</v>
      </c>
      <c r="C760" s="18" t="s">
        <v>19</v>
      </c>
      <c r="D760" s="18">
        <v>2</v>
      </c>
      <c r="E760" s="18" t="s">
        <v>21</v>
      </c>
      <c r="F760" s="18" t="s">
        <v>24</v>
      </c>
      <c r="G760" s="18" t="s">
        <v>10</v>
      </c>
      <c r="H760" s="18">
        <v>1393</v>
      </c>
      <c r="I760" s="22" t="s">
        <v>46</v>
      </c>
      <c r="J760" s="18">
        <v>24</v>
      </c>
      <c r="K760" s="18" t="s">
        <v>14</v>
      </c>
      <c r="L760" s="18">
        <v>1</v>
      </c>
      <c r="M760" s="22" t="s">
        <v>34</v>
      </c>
    </row>
    <row r="761" spans="1:13" x14ac:dyDescent="0.35">
      <c r="A761" s="18">
        <v>35</v>
      </c>
      <c r="B761" s="22" t="s">
        <v>39</v>
      </c>
      <c r="C761" s="18" t="s">
        <v>19</v>
      </c>
      <c r="D761" s="18">
        <v>2</v>
      </c>
      <c r="E761" s="18" t="s">
        <v>21</v>
      </c>
      <c r="F761" s="18" t="s">
        <v>24</v>
      </c>
      <c r="G761" s="18" t="s">
        <v>24</v>
      </c>
      <c r="H761" s="18">
        <v>691</v>
      </c>
      <c r="I761" s="22" t="s">
        <v>46</v>
      </c>
      <c r="J761" s="18">
        <v>12</v>
      </c>
      <c r="K761" s="18" t="s">
        <v>14</v>
      </c>
      <c r="L761" s="18">
        <v>2</v>
      </c>
      <c r="M761" s="22" t="s">
        <v>45</v>
      </c>
    </row>
    <row r="762" spans="1:13" x14ac:dyDescent="0.35">
      <c r="A762" s="18">
        <v>59</v>
      </c>
      <c r="B762" s="22" t="s">
        <v>37</v>
      </c>
      <c r="C762" s="18" t="s">
        <v>20</v>
      </c>
      <c r="D762" s="18">
        <v>2</v>
      </c>
      <c r="E762" s="18" t="s">
        <v>21</v>
      </c>
      <c r="F762" s="18" t="s">
        <v>10</v>
      </c>
      <c r="G762" s="18" t="s">
        <v>10</v>
      </c>
      <c r="H762" s="18">
        <v>5045</v>
      </c>
      <c r="I762" s="22" t="s">
        <v>42</v>
      </c>
      <c r="J762" s="18">
        <v>15</v>
      </c>
      <c r="K762" s="18" t="s">
        <v>14</v>
      </c>
      <c r="L762" s="18">
        <v>1</v>
      </c>
      <c r="M762" s="22" t="s">
        <v>34</v>
      </c>
    </row>
    <row r="763" spans="1:13" x14ac:dyDescent="0.35">
      <c r="A763" s="18">
        <v>24</v>
      </c>
      <c r="B763" s="22" t="s">
        <v>38</v>
      </c>
      <c r="C763" s="18" t="s">
        <v>20</v>
      </c>
      <c r="D763" s="18">
        <v>2</v>
      </c>
      <c r="E763" s="18" t="s">
        <v>23</v>
      </c>
      <c r="F763" s="18" t="s">
        <v>24</v>
      </c>
      <c r="G763" s="18" t="s">
        <v>24</v>
      </c>
      <c r="H763" s="18">
        <v>2124</v>
      </c>
      <c r="I763" s="22" t="s">
        <v>43</v>
      </c>
      <c r="J763" s="18">
        <v>18</v>
      </c>
      <c r="K763" s="18" t="s">
        <v>13</v>
      </c>
      <c r="L763" s="18">
        <v>2</v>
      </c>
      <c r="M763" s="22" t="s">
        <v>45</v>
      </c>
    </row>
    <row r="764" spans="1:13" x14ac:dyDescent="0.35">
      <c r="A764" s="18">
        <v>24</v>
      </c>
      <c r="B764" s="22" t="s">
        <v>38</v>
      </c>
      <c r="C764" s="18" t="s">
        <v>19</v>
      </c>
      <c r="D764" s="18">
        <v>1</v>
      </c>
      <c r="E764" s="18" t="s">
        <v>21</v>
      </c>
      <c r="F764" s="18" t="s">
        <v>24</v>
      </c>
      <c r="G764" s="18" t="s">
        <v>24</v>
      </c>
      <c r="H764" s="18">
        <v>2214</v>
      </c>
      <c r="I764" s="22" t="s">
        <v>43</v>
      </c>
      <c r="J764" s="18">
        <v>12</v>
      </c>
      <c r="K764" s="18" t="s">
        <v>11</v>
      </c>
      <c r="L764" s="18">
        <v>1</v>
      </c>
      <c r="M764" s="22" t="s">
        <v>34</v>
      </c>
    </row>
    <row r="765" spans="1:13" x14ac:dyDescent="0.35">
      <c r="A765" s="18">
        <v>30</v>
      </c>
      <c r="B765" s="22" t="s">
        <v>39</v>
      </c>
      <c r="C765" s="18" t="s">
        <v>19</v>
      </c>
      <c r="D765" s="18">
        <v>3</v>
      </c>
      <c r="E765" s="18" t="s">
        <v>22</v>
      </c>
      <c r="F765" s="18" t="s">
        <v>10</v>
      </c>
      <c r="G765" s="18" t="s">
        <v>10</v>
      </c>
      <c r="H765" s="18">
        <v>12680</v>
      </c>
      <c r="I765" s="22" t="s">
        <v>42</v>
      </c>
      <c r="J765" s="18">
        <v>21</v>
      </c>
      <c r="K765" s="18" t="s">
        <v>14</v>
      </c>
      <c r="L765" s="18">
        <v>2</v>
      </c>
      <c r="M765" s="22" t="s">
        <v>45</v>
      </c>
    </row>
    <row r="766" spans="1:13" x14ac:dyDescent="0.35">
      <c r="A766" s="18">
        <v>27</v>
      </c>
      <c r="B766" s="22" t="s">
        <v>38</v>
      </c>
      <c r="C766" s="18" t="s">
        <v>19</v>
      </c>
      <c r="D766" s="18">
        <v>2</v>
      </c>
      <c r="E766" s="18" t="s">
        <v>21</v>
      </c>
      <c r="F766" s="18" t="s">
        <v>27</v>
      </c>
      <c r="G766" s="18" t="s">
        <v>10</v>
      </c>
      <c r="H766" s="18">
        <v>2463</v>
      </c>
      <c r="I766" s="22" t="s">
        <v>43</v>
      </c>
      <c r="J766" s="18">
        <v>24</v>
      </c>
      <c r="K766" s="18" t="s">
        <v>14</v>
      </c>
      <c r="L766" s="18">
        <v>1</v>
      </c>
      <c r="M766" s="22" t="s">
        <v>34</v>
      </c>
    </row>
    <row r="767" spans="1:13" x14ac:dyDescent="0.35">
      <c r="A767" s="18">
        <v>40</v>
      </c>
      <c r="B767" s="22" t="s">
        <v>39</v>
      </c>
      <c r="C767" s="18" t="s">
        <v>19</v>
      </c>
      <c r="D767" s="18">
        <v>1</v>
      </c>
      <c r="E767" s="18" t="s">
        <v>21</v>
      </c>
      <c r="F767" s="18" t="s">
        <v>24</v>
      </c>
      <c r="G767" s="18" t="s">
        <v>27</v>
      </c>
      <c r="H767" s="18">
        <v>1155</v>
      </c>
      <c r="I767" s="22" t="s">
        <v>46</v>
      </c>
      <c r="J767" s="18">
        <v>12</v>
      </c>
      <c r="K767" s="18" t="s">
        <v>11</v>
      </c>
      <c r="L767" s="18">
        <v>1</v>
      </c>
      <c r="M767" s="22" t="s">
        <v>34</v>
      </c>
    </row>
    <row r="768" spans="1:13" x14ac:dyDescent="0.35">
      <c r="A768" s="18">
        <v>31</v>
      </c>
      <c r="B768" s="22" t="s">
        <v>39</v>
      </c>
      <c r="C768" s="18" t="s">
        <v>19</v>
      </c>
      <c r="D768" s="18">
        <v>1</v>
      </c>
      <c r="E768" s="18" t="s">
        <v>21</v>
      </c>
      <c r="F768" s="18" t="s">
        <v>24</v>
      </c>
      <c r="G768" s="18" t="s">
        <v>24</v>
      </c>
      <c r="H768" s="18">
        <v>3108</v>
      </c>
      <c r="I768" s="22" t="s">
        <v>43</v>
      </c>
      <c r="J768" s="18">
        <v>30</v>
      </c>
      <c r="K768" s="18" t="s">
        <v>13</v>
      </c>
      <c r="L768" s="18">
        <v>2</v>
      </c>
      <c r="M768" s="22" t="s">
        <v>45</v>
      </c>
    </row>
    <row r="769" spans="1:13" x14ac:dyDescent="0.35">
      <c r="A769" s="18">
        <v>31</v>
      </c>
      <c r="B769" s="22" t="s">
        <v>39</v>
      </c>
      <c r="C769" s="18" t="s">
        <v>20</v>
      </c>
      <c r="D769" s="18">
        <v>2</v>
      </c>
      <c r="E769" s="18" t="s">
        <v>23</v>
      </c>
      <c r="F769" s="18" t="s">
        <v>10</v>
      </c>
      <c r="G769" s="18" t="s">
        <v>10</v>
      </c>
      <c r="H769" s="18">
        <v>2901</v>
      </c>
      <c r="I769" s="22" t="s">
        <v>43</v>
      </c>
      <c r="J769" s="18">
        <v>10</v>
      </c>
      <c r="K769" s="18" t="s">
        <v>14</v>
      </c>
      <c r="L769" s="18">
        <v>1</v>
      </c>
      <c r="M769" s="22" t="s">
        <v>34</v>
      </c>
    </row>
    <row r="770" spans="1:13" x14ac:dyDescent="0.35">
      <c r="A770" s="18">
        <v>28</v>
      </c>
      <c r="B770" s="22" t="s">
        <v>38</v>
      </c>
      <c r="C770" s="18" t="s">
        <v>19</v>
      </c>
      <c r="D770" s="18">
        <v>2</v>
      </c>
      <c r="E770" s="18" t="s">
        <v>23</v>
      </c>
      <c r="F770" s="18" t="s">
        <v>24</v>
      </c>
      <c r="G770" s="18" t="s">
        <v>27</v>
      </c>
      <c r="H770" s="18">
        <v>3617</v>
      </c>
      <c r="I770" s="22" t="s">
        <v>43</v>
      </c>
      <c r="J770" s="18">
        <v>12</v>
      </c>
      <c r="K770" s="18" t="s">
        <v>13</v>
      </c>
      <c r="L770" s="18">
        <v>1</v>
      </c>
      <c r="M770" s="22" t="s">
        <v>34</v>
      </c>
    </row>
    <row r="771" spans="1:13" x14ac:dyDescent="0.35">
      <c r="A771" s="18">
        <v>63</v>
      </c>
      <c r="B771" s="22" t="s">
        <v>37</v>
      </c>
      <c r="C771" s="18" t="s">
        <v>19</v>
      </c>
      <c r="D771" s="18">
        <v>1</v>
      </c>
      <c r="E771" s="18" t="s">
        <v>21</v>
      </c>
      <c r="F771" s="18" t="s">
        <v>24</v>
      </c>
      <c r="G771" s="18" t="s">
        <v>10</v>
      </c>
      <c r="H771" s="18">
        <v>1655</v>
      </c>
      <c r="I771" s="22" t="s">
        <v>46</v>
      </c>
      <c r="J771" s="18">
        <v>12</v>
      </c>
      <c r="K771" s="18" t="s">
        <v>11</v>
      </c>
      <c r="L771" s="18">
        <v>1</v>
      </c>
      <c r="M771" s="22" t="s">
        <v>34</v>
      </c>
    </row>
    <row r="772" spans="1:13" x14ac:dyDescent="0.35">
      <c r="A772" s="18">
        <v>26</v>
      </c>
      <c r="B772" s="22" t="s">
        <v>38</v>
      </c>
      <c r="C772" s="18" t="s">
        <v>20</v>
      </c>
      <c r="D772" s="18">
        <v>2</v>
      </c>
      <c r="E772" s="18" t="s">
        <v>23</v>
      </c>
      <c r="F772" s="18" t="s">
        <v>10</v>
      </c>
      <c r="G772" s="18" t="s">
        <v>24</v>
      </c>
      <c r="H772" s="18">
        <v>2812</v>
      </c>
      <c r="I772" s="22" t="s">
        <v>43</v>
      </c>
      <c r="J772" s="18">
        <v>24</v>
      </c>
      <c r="K772" s="18" t="s">
        <v>14</v>
      </c>
      <c r="L772" s="18">
        <v>1</v>
      </c>
      <c r="M772" s="22" t="s">
        <v>34</v>
      </c>
    </row>
    <row r="773" spans="1:13" x14ac:dyDescent="0.35">
      <c r="A773" s="18">
        <v>25</v>
      </c>
      <c r="B773" s="22" t="s">
        <v>38</v>
      </c>
      <c r="C773" s="18" t="s">
        <v>20</v>
      </c>
      <c r="D773" s="18">
        <v>3</v>
      </c>
      <c r="E773" s="18" t="s">
        <v>21</v>
      </c>
      <c r="F773" s="18" t="s">
        <v>24</v>
      </c>
      <c r="G773" s="18" t="s">
        <v>24</v>
      </c>
      <c r="H773" s="18">
        <v>8065</v>
      </c>
      <c r="I773" s="22" t="s">
        <v>42</v>
      </c>
      <c r="J773" s="18">
        <v>36</v>
      </c>
      <c r="K773" s="18" t="s">
        <v>12</v>
      </c>
      <c r="L773" s="18">
        <v>2</v>
      </c>
      <c r="M773" s="22" t="s">
        <v>45</v>
      </c>
    </row>
    <row r="774" spans="1:13" x14ac:dyDescent="0.35">
      <c r="A774" s="18">
        <v>36</v>
      </c>
      <c r="B774" s="22" t="s">
        <v>39</v>
      </c>
      <c r="C774" s="18" t="s">
        <v>19</v>
      </c>
      <c r="D774" s="18">
        <v>3</v>
      </c>
      <c r="E774" s="18" t="s">
        <v>21</v>
      </c>
      <c r="F774" s="18" t="s">
        <v>24</v>
      </c>
      <c r="G774" s="18" t="s">
        <v>10</v>
      </c>
      <c r="H774" s="18">
        <v>3275</v>
      </c>
      <c r="I774" s="22" t="s">
        <v>43</v>
      </c>
      <c r="J774" s="18">
        <v>21</v>
      </c>
      <c r="K774" s="18" t="s">
        <v>14</v>
      </c>
      <c r="L774" s="18">
        <v>1</v>
      </c>
      <c r="M774" s="22" t="s">
        <v>34</v>
      </c>
    </row>
    <row r="775" spans="1:13" x14ac:dyDescent="0.35">
      <c r="A775" s="18">
        <v>52</v>
      </c>
      <c r="B775" s="22" t="s">
        <v>37</v>
      </c>
      <c r="C775" s="18" t="s">
        <v>19</v>
      </c>
      <c r="D775" s="18">
        <v>2</v>
      </c>
      <c r="E775" s="18" t="s">
        <v>21</v>
      </c>
      <c r="F775" s="18" t="s">
        <v>27</v>
      </c>
      <c r="G775" s="18" t="s">
        <v>10</v>
      </c>
      <c r="H775" s="18">
        <v>2223</v>
      </c>
      <c r="I775" s="22" t="s">
        <v>43</v>
      </c>
      <c r="J775" s="18">
        <v>24</v>
      </c>
      <c r="K775" s="18" t="s">
        <v>11</v>
      </c>
      <c r="L775" s="18">
        <v>1</v>
      </c>
      <c r="M775" s="22" t="s">
        <v>34</v>
      </c>
    </row>
    <row r="776" spans="1:13" x14ac:dyDescent="0.35">
      <c r="A776" s="18">
        <v>66</v>
      </c>
      <c r="B776" s="22" t="s">
        <v>37</v>
      </c>
      <c r="C776" s="18" t="s">
        <v>19</v>
      </c>
      <c r="D776" s="18">
        <v>0</v>
      </c>
      <c r="E776" s="18" t="s">
        <v>22</v>
      </c>
      <c r="F776" s="18" t="s">
        <v>25</v>
      </c>
      <c r="G776" s="18" t="s">
        <v>26</v>
      </c>
      <c r="H776" s="18">
        <v>1480</v>
      </c>
      <c r="I776" s="22" t="s">
        <v>46</v>
      </c>
      <c r="J776" s="18">
        <v>12</v>
      </c>
      <c r="K776" s="18" t="s">
        <v>14</v>
      </c>
      <c r="L776" s="18">
        <v>1</v>
      </c>
      <c r="M776" s="22" t="s">
        <v>34</v>
      </c>
    </row>
    <row r="777" spans="1:13" x14ac:dyDescent="0.35">
      <c r="A777" s="18">
        <v>25</v>
      </c>
      <c r="B777" s="22" t="s">
        <v>38</v>
      </c>
      <c r="C777" s="18" t="s">
        <v>20</v>
      </c>
      <c r="D777" s="18">
        <v>2</v>
      </c>
      <c r="E777" s="18" t="s">
        <v>23</v>
      </c>
      <c r="F777" s="18" t="s">
        <v>10</v>
      </c>
      <c r="G777" s="18" t="s">
        <v>24</v>
      </c>
      <c r="H777" s="18">
        <v>1371</v>
      </c>
      <c r="I777" s="22" t="s">
        <v>46</v>
      </c>
      <c r="J777" s="18">
        <v>24</v>
      </c>
      <c r="K777" s="18" t="s">
        <v>14</v>
      </c>
      <c r="L777" s="18">
        <v>2</v>
      </c>
      <c r="M777" s="22" t="s">
        <v>45</v>
      </c>
    </row>
    <row r="778" spans="1:13" x14ac:dyDescent="0.35">
      <c r="A778" s="18">
        <v>37</v>
      </c>
      <c r="B778" s="22" t="s">
        <v>39</v>
      </c>
      <c r="C778" s="18" t="s">
        <v>19</v>
      </c>
      <c r="D778" s="18">
        <v>2</v>
      </c>
      <c r="E778" s="18" t="s">
        <v>21</v>
      </c>
      <c r="F778" s="18" t="s">
        <v>24</v>
      </c>
      <c r="G778" s="18" t="s">
        <v>10</v>
      </c>
      <c r="H778" s="18">
        <v>3535</v>
      </c>
      <c r="I778" s="22" t="s">
        <v>43</v>
      </c>
      <c r="J778" s="18">
        <v>36</v>
      </c>
      <c r="K778" s="18" t="s">
        <v>14</v>
      </c>
      <c r="L778" s="18">
        <v>1</v>
      </c>
      <c r="M778" s="22" t="s">
        <v>34</v>
      </c>
    </row>
    <row r="779" spans="1:13" x14ac:dyDescent="0.35">
      <c r="A779" s="18">
        <v>25</v>
      </c>
      <c r="B779" s="22" t="s">
        <v>38</v>
      </c>
      <c r="C779" s="18" t="s">
        <v>20</v>
      </c>
      <c r="D779" s="18">
        <v>2</v>
      </c>
      <c r="E779" s="18" t="s">
        <v>21</v>
      </c>
      <c r="F779" s="18" t="s">
        <v>24</v>
      </c>
      <c r="G779" s="18" t="s">
        <v>24</v>
      </c>
      <c r="H779" s="18">
        <v>3509</v>
      </c>
      <c r="I779" s="22" t="s">
        <v>43</v>
      </c>
      <c r="J779" s="18">
        <v>18</v>
      </c>
      <c r="K779" s="18" t="s">
        <v>11</v>
      </c>
      <c r="L779" s="18">
        <v>1</v>
      </c>
      <c r="M779" s="22" t="s">
        <v>34</v>
      </c>
    </row>
    <row r="780" spans="1:13" x14ac:dyDescent="0.35">
      <c r="A780" s="18">
        <v>38</v>
      </c>
      <c r="B780" s="22" t="s">
        <v>39</v>
      </c>
      <c r="C780" s="18" t="s">
        <v>19</v>
      </c>
      <c r="D780" s="18">
        <v>3</v>
      </c>
      <c r="E780" s="18" t="s">
        <v>21</v>
      </c>
      <c r="F780" s="18" t="s">
        <v>26</v>
      </c>
      <c r="G780" s="18" t="s">
        <v>10</v>
      </c>
      <c r="H780" s="18">
        <v>5711</v>
      </c>
      <c r="I780" s="22" t="s">
        <v>42</v>
      </c>
      <c r="J780" s="18">
        <v>36</v>
      </c>
      <c r="K780" s="18" t="s">
        <v>14</v>
      </c>
      <c r="L780" s="18">
        <v>1</v>
      </c>
      <c r="M780" s="22" t="s">
        <v>34</v>
      </c>
    </row>
    <row r="781" spans="1:13" x14ac:dyDescent="0.35">
      <c r="A781" s="18">
        <v>67</v>
      </c>
      <c r="B781" s="22" t="s">
        <v>37</v>
      </c>
      <c r="C781" s="18" t="s">
        <v>20</v>
      </c>
      <c r="D781" s="18">
        <v>2</v>
      </c>
      <c r="E781" s="18" t="s">
        <v>21</v>
      </c>
      <c r="F781" s="18" t="s">
        <v>24</v>
      </c>
      <c r="G781" s="18" t="s">
        <v>27</v>
      </c>
      <c r="H781" s="18">
        <v>3872</v>
      </c>
      <c r="I781" s="22" t="s">
        <v>43</v>
      </c>
      <c r="J781" s="18">
        <v>18</v>
      </c>
      <c r="K781" s="18" t="s">
        <v>17</v>
      </c>
      <c r="L781" s="18">
        <v>1</v>
      </c>
      <c r="M781" s="22" t="s">
        <v>34</v>
      </c>
    </row>
    <row r="782" spans="1:13" x14ac:dyDescent="0.35">
      <c r="A782" s="18">
        <v>25</v>
      </c>
      <c r="B782" s="22" t="s">
        <v>38</v>
      </c>
      <c r="C782" s="18" t="s">
        <v>19</v>
      </c>
      <c r="D782" s="18">
        <v>2</v>
      </c>
      <c r="E782" s="18" t="s">
        <v>21</v>
      </c>
      <c r="F782" s="18" t="s">
        <v>24</v>
      </c>
      <c r="G782" s="18" t="s">
        <v>27</v>
      </c>
      <c r="H782" s="18">
        <v>4933</v>
      </c>
      <c r="I782" s="22" t="s">
        <v>43</v>
      </c>
      <c r="J782" s="18">
        <v>39</v>
      </c>
      <c r="K782" s="18" t="s">
        <v>11</v>
      </c>
      <c r="L782" s="18">
        <v>2</v>
      </c>
      <c r="M782" s="22" t="s">
        <v>45</v>
      </c>
    </row>
    <row r="783" spans="1:13" x14ac:dyDescent="0.35">
      <c r="A783" s="18">
        <v>60</v>
      </c>
      <c r="B783" s="22" t="s">
        <v>37</v>
      </c>
      <c r="C783" s="18" t="s">
        <v>19</v>
      </c>
      <c r="D783" s="18">
        <v>2</v>
      </c>
      <c r="E783" s="18" t="s">
        <v>21</v>
      </c>
      <c r="F783" s="18" t="s">
        <v>26</v>
      </c>
      <c r="G783" s="18" t="s">
        <v>10</v>
      </c>
      <c r="H783" s="18">
        <v>1940</v>
      </c>
      <c r="I783" s="22" t="s">
        <v>46</v>
      </c>
      <c r="J783" s="18">
        <v>24</v>
      </c>
      <c r="K783" s="18" t="s">
        <v>14</v>
      </c>
      <c r="L783" s="18">
        <v>1</v>
      </c>
      <c r="M783" s="22" t="s">
        <v>34</v>
      </c>
    </row>
    <row r="784" spans="1:13" x14ac:dyDescent="0.35">
      <c r="A784" s="18">
        <v>31</v>
      </c>
      <c r="B784" s="22" t="s">
        <v>39</v>
      </c>
      <c r="C784" s="18" t="s">
        <v>19</v>
      </c>
      <c r="D784" s="18">
        <v>1</v>
      </c>
      <c r="E784" s="18" t="s">
        <v>21</v>
      </c>
      <c r="F784" s="18" t="s">
        <v>24</v>
      </c>
      <c r="G784" s="18" t="s">
        <v>27</v>
      </c>
      <c r="H784" s="18">
        <v>1410</v>
      </c>
      <c r="I784" s="22" t="s">
        <v>46</v>
      </c>
      <c r="J784" s="18">
        <v>12</v>
      </c>
      <c r="K784" s="18" t="s">
        <v>12</v>
      </c>
      <c r="L784" s="18">
        <v>1</v>
      </c>
      <c r="M784" s="22" t="s">
        <v>34</v>
      </c>
    </row>
    <row r="785" spans="1:13" x14ac:dyDescent="0.35">
      <c r="A785" s="18">
        <v>23</v>
      </c>
      <c r="B785" s="22" t="s">
        <v>38</v>
      </c>
      <c r="C785" s="18" t="s">
        <v>20</v>
      </c>
      <c r="D785" s="18">
        <v>1</v>
      </c>
      <c r="E785" s="18" t="s">
        <v>21</v>
      </c>
      <c r="F785" s="18" t="s">
        <v>27</v>
      </c>
      <c r="G785" s="18" t="s">
        <v>27</v>
      </c>
      <c r="H785" s="18">
        <v>836</v>
      </c>
      <c r="I785" s="22" t="s">
        <v>46</v>
      </c>
      <c r="J785" s="18">
        <v>12</v>
      </c>
      <c r="K785" s="18" t="s">
        <v>14</v>
      </c>
      <c r="L785" s="18">
        <v>2</v>
      </c>
      <c r="M785" s="22" t="s">
        <v>45</v>
      </c>
    </row>
    <row r="786" spans="1:13" x14ac:dyDescent="0.35">
      <c r="A786" s="18">
        <v>60</v>
      </c>
      <c r="B786" s="22" t="s">
        <v>37</v>
      </c>
      <c r="C786" s="18" t="s">
        <v>19</v>
      </c>
      <c r="D786" s="18">
        <v>3</v>
      </c>
      <c r="E786" s="18" t="s">
        <v>21</v>
      </c>
      <c r="F786" s="18" t="s">
        <v>10</v>
      </c>
      <c r="G786" s="18" t="s">
        <v>27</v>
      </c>
      <c r="H786" s="18">
        <v>6468</v>
      </c>
      <c r="I786" s="22" t="s">
        <v>42</v>
      </c>
      <c r="J786" s="18">
        <v>20</v>
      </c>
      <c r="K786" s="18" t="s">
        <v>14</v>
      </c>
      <c r="L786" s="18">
        <v>1</v>
      </c>
      <c r="M786" s="22" t="s">
        <v>34</v>
      </c>
    </row>
    <row r="787" spans="1:13" x14ac:dyDescent="0.35">
      <c r="A787" s="18">
        <v>35</v>
      </c>
      <c r="B787" s="22" t="s">
        <v>39</v>
      </c>
      <c r="C787" s="18" t="s">
        <v>19</v>
      </c>
      <c r="D787" s="18">
        <v>1</v>
      </c>
      <c r="E787" s="18" t="s">
        <v>21</v>
      </c>
      <c r="F787" s="18" t="s">
        <v>26</v>
      </c>
      <c r="G787" s="18" t="s">
        <v>27</v>
      </c>
      <c r="H787" s="18">
        <v>1941</v>
      </c>
      <c r="I787" s="22" t="s">
        <v>46</v>
      </c>
      <c r="J787" s="18">
        <v>18</v>
      </c>
      <c r="K787" s="18" t="s">
        <v>15</v>
      </c>
      <c r="L787" s="18">
        <v>1</v>
      </c>
      <c r="M787" s="22" t="s">
        <v>34</v>
      </c>
    </row>
    <row r="788" spans="1:13" x14ac:dyDescent="0.35">
      <c r="A788" s="18">
        <v>40</v>
      </c>
      <c r="B788" s="22" t="s">
        <v>39</v>
      </c>
      <c r="C788" s="18" t="s">
        <v>19</v>
      </c>
      <c r="D788" s="18">
        <v>2</v>
      </c>
      <c r="E788" s="18" t="s">
        <v>21</v>
      </c>
      <c r="F788" s="18" t="s">
        <v>25</v>
      </c>
      <c r="G788" s="18" t="s">
        <v>10</v>
      </c>
      <c r="H788" s="18">
        <v>2675</v>
      </c>
      <c r="I788" s="22" t="s">
        <v>43</v>
      </c>
      <c r="J788" s="18">
        <v>22</v>
      </c>
      <c r="K788" s="18" t="s">
        <v>11</v>
      </c>
      <c r="L788" s="18">
        <v>1</v>
      </c>
      <c r="M788" s="22" t="s">
        <v>34</v>
      </c>
    </row>
    <row r="789" spans="1:13" x14ac:dyDescent="0.35">
      <c r="A789" s="18">
        <v>38</v>
      </c>
      <c r="B789" s="22" t="s">
        <v>39</v>
      </c>
      <c r="C789" s="18" t="s">
        <v>19</v>
      </c>
      <c r="D789" s="18">
        <v>2</v>
      </c>
      <c r="E789" s="18" t="s">
        <v>21</v>
      </c>
      <c r="F789" s="18" t="s">
        <v>10</v>
      </c>
      <c r="G789" s="18" t="s">
        <v>10</v>
      </c>
      <c r="H789" s="18">
        <v>2751</v>
      </c>
      <c r="I789" s="22" t="s">
        <v>43</v>
      </c>
      <c r="J789" s="18">
        <v>48</v>
      </c>
      <c r="K789" s="18" t="s">
        <v>14</v>
      </c>
      <c r="L789" s="18">
        <v>1</v>
      </c>
      <c r="M789" s="22" t="s">
        <v>34</v>
      </c>
    </row>
    <row r="790" spans="1:13" x14ac:dyDescent="0.35">
      <c r="A790" s="18">
        <v>50</v>
      </c>
      <c r="B790" s="22" t="s">
        <v>37</v>
      </c>
      <c r="C790" s="18" t="s">
        <v>19</v>
      </c>
      <c r="D790" s="18">
        <v>2</v>
      </c>
      <c r="E790" s="18" t="s">
        <v>22</v>
      </c>
      <c r="F790" s="18" t="s">
        <v>24</v>
      </c>
      <c r="G790" s="18" t="s">
        <v>27</v>
      </c>
      <c r="H790" s="18">
        <v>6224</v>
      </c>
      <c r="I790" s="22" t="s">
        <v>42</v>
      </c>
      <c r="J790" s="18">
        <v>48</v>
      </c>
      <c r="K790" s="18" t="s">
        <v>12</v>
      </c>
      <c r="L790" s="18">
        <v>2</v>
      </c>
      <c r="M790" s="22" t="s">
        <v>45</v>
      </c>
    </row>
    <row r="791" spans="1:13" x14ac:dyDescent="0.35">
      <c r="A791" s="18">
        <v>27</v>
      </c>
      <c r="B791" s="22" t="s">
        <v>38</v>
      </c>
      <c r="C791" s="18" t="s">
        <v>19</v>
      </c>
      <c r="D791" s="18">
        <v>2</v>
      </c>
      <c r="E791" s="18" t="s">
        <v>21</v>
      </c>
      <c r="F791" s="18" t="s">
        <v>24</v>
      </c>
      <c r="G791" s="18" t="s">
        <v>24</v>
      </c>
      <c r="H791" s="18">
        <v>5998</v>
      </c>
      <c r="I791" s="22" t="s">
        <v>42</v>
      </c>
      <c r="J791" s="18">
        <v>40</v>
      </c>
      <c r="K791" s="18" t="s">
        <v>12</v>
      </c>
      <c r="L791" s="18">
        <v>2</v>
      </c>
      <c r="M791" s="22" t="s">
        <v>45</v>
      </c>
    </row>
    <row r="792" spans="1:13" x14ac:dyDescent="0.35">
      <c r="A792" s="18">
        <v>39</v>
      </c>
      <c r="B792" s="22" t="s">
        <v>39</v>
      </c>
      <c r="C792" s="18" t="s">
        <v>20</v>
      </c>
      <c r="D792" s="18">
        <v>2</v>
      </c>
      <c r="E792" s="18" t="s">
        <v>21</v>
      </c>
      <c r="F792" s="18" t="s">
        <v>24</v>
      </c>
      <c r="G792" s="18" t="s">
        <v>27</v>
      </c>
      <c r="H792" s="18">
        <v>1188</v>
      </c>
      <c r="I792" s="22" t="s">
        <v>46</v>
      </c>
      <c r="J792" s="18">
        <v>21</v>
      </c>
      <c r="K792" s="18" t="s">
        <v>15</v>
      </c>
      <c r="L792" s="18">
        <v>2</v>
      </c>
      <c r="M792" s="22" t="s">
        <v>45</v>
      </c>
    </row>
    <row r="793" spans="1:13" x14ac:dyDescent="0.35">
      <c r="A793" s="18">
        <v>41</v>
      </c>
      <c r="B793" s="22" t="s">
        <v>39</v>
      </c>
      <c r="C793" s="18" t="s">
        <v>19</v>
      </c>
      <c r="D793" s="18">
        <v>3</v>
      </c>
      <c r="E793" s="18" t="s">
        <v>21</v>
      </c>
      <c r="F793" s="18" t="s">
        <v>10</v>
      </c>
      <c r="G793" s="18" t="s">
        <v>10</v>
      </c>
      <c r="H793" s="18">
        <v>6313</v>
      </c>
      <c r="I793" s="22" t="s">
        <v>42</v>
      </c>
      <c r="J793" s="18">
        <v>24</v>
      </c>
      <c r="K793" s="18" t="s">
        <v>14</v>
      </c>
      <c r="L793" s="18">
        <v>1</v>
      </c>
      <c r="M793" s="22" t="s">
        <v>34</v>
      </c>
    </row>
    <row r="794" spans="1:13" x14ac:dyDescent="0.35">
      <c r="A794" s="18">
        <v>27</v>
      </c>
      <c r="B794" s="22" t="s">
        <v>38</v>
      </c>
      <c r="C794" s="18" t="s">
        <v>19</v>
      </c>
      <c r="D794" s="18">
        <v>2</v>
      </c>
      <c r="E794" s="18" t="s">
        <v>21</v>
      </c>
      <c r="F794" s="18" t="s">
        <v>10</v>
      </c>
      <c r="G794" s="18" t="s">
        <v>10</v>
      </c>
      <c r="H794" s="18">
        <v>1221</v>
      </c>
      <c r="I794" s="22" t="s">
        <v>46</v>
      </c>
      <c r="J794" s="18">
        <v>6</v>
      </c>
      <c r="K794" s="18" t="s">
        <v>13</v>
      </c>
      <c r="L794" s="18">
        <v>1</v>
      </c>
      <c r="M794" s="22" t="s">
        <v>34</v>
      </c>
    </row>
    <row r="795" spans="1:13" x14ac:dyDescent="0.35">
      <c r="A795" s="18">
        <v>51</v>
      </c>
      <c r="B795" s="22" t="s">
        <v>37</v>
      </c>
      <c r="C795" s="18" t="s">
        <v>19</v>
      </c>
      <c r="D795" s="18">
        <v>2</v>
      </c>
      <c r="E795" s="18" t="s">
        <v>22</v>
      </c>
      <c r="F795" s="18" t="s">
        <v>24</v>
      </c>
      <c r="G795" s="18" t="s">
        <v>26</v>
      </c>
      <c r="H795" s="18">
        <v>2892</v>
      </c>
      <c r="I795" s="22" t="s">
        <v>43</v>
      </c>
      <c r="J795" s="18">
        <v>24</v>
      </c>
      <c r="K795" s="18" t="s">
        <v>13</v>
      </c>
      <c r="L795" s="18">
        <v>1</v>
      </c>
      <c r="M795" s="22" t="s">
        <v>34</v>
      </c>
    </row>
    <row r="796" spans="1:13" x14ac:dyDescent="0.35">
      <c r="A796" s="18">
        <v>32</v>
      </c>
      <c r="B796" s="22" t="s">
        <v>39</v>
      </c>
      <c r="C796" s="18" t="s">
        <v>19</v>
      </c>
      <c r="D796" s="18">
        <v>2</v>
      </c>
      <c r="E796" s="18" t="s">
        <v>23</v>
      </c>
      <c r="F796" s="18" t="s">
        <v>25</v>
      </c>
      <c r="G796" s="18" t="s">
        <v>10</v>
      </c>
      <c r="H796" s="18">
        <v>3062</v>
      </c>
      <c r="I796" s="22" t="s">
        <v>43</v>
      </c>
      <c r="J796" s="18">
        <v>24</v>
      </c>
      <c r="K796" s="18" t="s">
        <v>13</v>
      </c>
      <c r="L796" s="18">
        <v>1</v>
      </c>
      <c r="M796" s="22" t="s">
        <v>34</v>
      </c>
    </row>
    <row r="797" spans="1:13" x14ac:dyDescent="0.35">
      <c r="A797" s="18">
        <v>22</v>
      </c>
      <c r="B797" s="22" t="s">
        <v>38</v>
      </c>
      <c r="C797" s="18" t="s">
        <v>20</v>
      </c>
      <c r="D797" s="18">
        <v>2</v>
      </c>
      <c r="E797" s="18" t="s">
        <v>23</v>
      </c>
      <c r="F797" s="18" t="s">
        <v>27</v>
      </c>
      <c r="G797" s="18" t="s">
        <v>10</v>
      </c>
      <c r="H797" s="18">
        <v>2301</v>
      </c>
      <c r="I797" s="22" t="s">
        <v>43</v>
      </c>
      <c r="J797" s="18">
        <v>9</v>
      </c>
      <c r="K797" s="18" t="s">
        <v>13</v>
      </c>
      <c r="L797" s="18">
        <v>1</v>
      </c>
      <c r="M797" s="22" t="s">
        <v>34</v>
      </c>
    </row>
    <row r="798" spans="1:13" x14ac:dyDescent="0.35">
      <c r="A798" s="18">
        <v>51</v>
      </c>
      <c r="B798" s="22" t="s">
        <v>37</v>
      </c>
      <c r="C798" s="18" t="s">
        <v>19</v>
      </c>
      <c r="D798" s="18">
        <v>2</v>
      </c>
      <c r="E798" s="18" t="s">
        <v>22</v>
      </c>
      <c r="F798" s="18" t="s">
        <v>10</v>
      </c>
      <c r="G798" s="18" t="s">
        <v>24</v>
      </c>
      <c r="H798" s="18">
        <v>7511</v>
      </c>
      <c r="I798" s="22" t="s">
        <v>42</v>
      </c>
      <c r="J798" s="18">
        <v>18</v>
      </c>
      <c r="K798" s="18" t="s">
        <v>14</v>
      </c>
      <c r="L798" s="18">
        <v>2</v>
      </c>
      <c r="M798" s="22" t="s">
        <v>45</v>
      </c>
    </row>
    <row r="799" spans="1:13" x14ac:dyDescent="0.35">
      <c r="A799" s="18">
        <v>22</v>
      </c>
      <c r="B799" s="22" t="s">
        <v>38</v>
      </c>
      <c r="C799" s="18" t="s">
        <v>20</v>
      </c>
      <c r="D799" s="18">
        <v>1</v>
      </c>
      <c r="E799" s="18" t="s">
        <v>23</v>
      </c>
      <c r="F799" s="18" t="s">
        <v>24</v>
      </c>
      <c r="G799" s="18" t="s">
        <v>10</v>
      </c>
      <c r="H799" s="18">
        <v>1258</v>
      </c>
      <c r="I799" s="22" t="s">
        <v>46</v>
      </c>
      <c r="J799" s="18">
        <v>12</v>
      </c>
      <c r="K799" s="18" t="s">
        <v>13</v>
      </c>
      <c r="L799" s="18">
        <v>1</v>
      </c>
      <c r="M799" s="22" t="s">
        <v>34</v>
      </c>
    </row>
    <row r="800" spans="1:13" x14ac:dyDescent="0.35">
      <c r="A800" s="18">
        <v>54</v>
      </c>
      <c r="B800" s="22" t="s">
        <v>37</v>
      </c>
      <c r="C800" s="18" t="s">
        <v>19</v>
      </c>
      <c r="D800" s="18">
        <v>2</v>
      </c>
      <c r="E800" s="18" t="s">
        <v>21</v>
      </c>
      <c r="F800" s="18" t="s">
        <v>10</v>
      </c>
      <c r="G800" s="18" t="s">
        <v>10</v>
      </c>
      <c r="H800" s="18">
        <v>717</v>
      </c>
      <c r="I800" s="22" t="s">
        <v>46</v>
      </c>
      <c r="J800" s="18">
        <v>24</v>
      </c>
      <c r="K800" s="18" t="s">
        <v>14</v>
      </c>
      <c r="L800" s="18">
        <v>1</v>
      </c>
      <c r="M800" s="22" t="s">
        <v>34</v>
      </c>
    </row>
    <row r="801" spans="1:13" x14ac:dyDescent="0.35">
      <c r="A801" s="18">
        <v>35</v>
      </c>
      <c r="B801" s="22" t="s">
        <v>39</v>
      </c>
      <c r="C801" s="18" t="s">
        <v>19</v>
      </c>
      <c r="D801" s="18">
        <v>0</v>
      </c>
      <c r="E801" s="18" t="s">
        <v>21</v>
      </c>
      <c r="F801" s="18" t="s">
        <v>10</v>
      </c>
      <c r="G801" s="18" t="s">
        <v>27</v>
      </c>
      <c r="H801" s="18">
        <v>1549</v>
      </c>
      <c r="I801" s="22" t="s">
        <v>46</v>
      </c>
      <c r="J801" s="18">
        <v>9</v>
      </c>
      <c r="K801" s="18" t="s">
        <v>14</v>
      </c>
      <c r="L801" s="18">
        <v>1</v>
      </c>
      <c r="M801" s="22" t="s">
        <v>34</v>
      </c>
    </row>
    <row r="802" spans="1:13" x14ac:dyDescent="0.35">
      <c r="A802" s="18">
        <v>54</v>
      </c>
      <c r="B802" s="22" t="s">
        <v>37</v>
      </c>
      <c r="C802" s="18" t="s">
        <v>19</v>
      </c>
      <c r="D802" s="18">
        <v>2</v>
      </c>
      <c r="E802" s="18" t="s">
        <v>22</v>
      </c>
      <c r="F802" s="18" t="s">
        <v>24</v>
      </c>
      <c r="G802" s="18" t="s">
        <v>10</v>
      </c>
      <c r="H802" s="18">
        <v>1597</v>
      </c>
      <c r="I802" s="22" t="s">
        <v>46</v>
      </c>
      <c r="J802" s="18">
        <v>24</v>
      </c>
      <c r="K802" s="18" t="s">
        <v>12</v>
      </c>
      <c r="L802" s="18">
        <v>1</v>
      </c>
      <c r="M802" s="22" t="s">
        <v>34</v>
      </c>
    </row>
    <row r="803" spans="1:13" x14ac:dyDescent="0.35">
      <c r="A803" s="18">
        <v>48</v>
      </c>
      <c r="B803" s="22" t="s">
        <v>39</v>
      </c>
      <c r="C803" s="18" t="s">
        <v>20</v>
      </c>
      <c r="D803" s="18">
        <v>1</v>
      </c>
      <c r="E803" s="18" t="s">
        <v>23</v>
      </c>
      <c r="F803" s="18" t="s">
        <v>24</v>
      </c>
      <c r="G803" s="18" t="s">
        <v>27</v>
      </c>
      <c r="H803" s="18">
        <v>1795</v>
      </c>
      <c r="I803" s="22" t="s">
        <v>46</v>
      </c>
      <c r="J803" s="18">
        <v>18</v>
      </c>
      <c r="K803" s="18" t="s">
        <v>11</v>
      </c>
      <c r="L803" s="18">
        <v>1</v>
      </c>
      <c r="M803" s="22" t="s">
        <v>34</v>
      </c>
    </row>
    <row r="804" spans="1:13" x14ac:dyDescent="0.35">
      <c r="A804" s="18">
        <v>24</v>
      </c>
      <c r="B804" s="22" t="s">
        <v>38</v>
      </c>
      <c r="C804" s="18" t="s">
        <v>20</v>
      </c>
      <c r="D804" s="18">
        <v>2</v>
      </c>
      <c r="E804" s="18" t="s">
        <v>21</v>
      </c>
      <c r="F804" s="18" t="s">
        <v>24</v>
      </c>
      <c r="G804" s="18" t="s">
        <v>24</v>
      </c>
      <c r="H804" s="18">
        <v>4272</v>
      </c>
      <c r="I804" s="22" t="s">
        <v>43</v>
      </c>
      <c r="J804" s="18">
        <v>20</v>
      </c>
      <c r="K804" s="18" t="s">
        <v>13</v>
      </c>
      <c r="L804" s="18">
        <v>1</v>
      </c>
      <c r="M804" s="22" t="s">
        <v>34</v>
      </c>
    </row>
    <row r="805" spans="1:13" x14ac:dyDescent="0.35">
      <c r="A805" s="18">
        <v>35</v>
      </c>
      <c r="B805" s="22" t="s">
        <v>39</v>
      </c>
      <c r="C805" s="18" t="s">
        <v>19</v>
      </c>
      <c r="D805" s="18">
        <v>2</v>
      </c>
      <c r="E805" s="18" t="s">
        <v>21</v>
      </c>
      <c r="F805" s="18" t="s">
        <v>10</v>
      </c>
      <c r="G805" s="18" t="s">
        <v>10</v>
      </c>
      <c r="H805" s="18">
        <v>976</v>
      </c>
      <c r="I805" s="22" t="s">
        <v>46</v>
      </c>
      <c r="J805" s="18">
        <v>12</v>
      </c>
      <c r="K805" s="18" t="s">
        <v>11</v>
      </c>
      <c r="L805" s="18">
        <v>1</v>
      </c>
      <c r="M805" s="22" t="s">
        <v>34</v>
      </c>
    </row>
    <row r="806" spans="1:13" x14ac:dyDescent="0.35">
      <c r="A806" s="18">
        <v>24</v>
      </c>
      <c r="B806" s="22" t="s">
        <v>38</v>
      </c>
      <c r="C806" s="18" t="s">
        <v>20</v>
      </c>
      <c r="D806" s="18">
        <v>0</v>
      </c>
      <c r="E806" s="18" t="s">
        <v>23</v>
      </c>
      <c r="F806" s="18" t="s">
        <v>10</v>
      </c>
      <c r="G806" s="18" t="s">
        <v>27</v>
      </c>
      <c r="H806" s="18">
        <v>7472</v>
      </c>
      <c r="I806" s="22" t="s">
        <v>42</v>
      </c>
      <c r="J806" s="18">
        <v>12</v>
      </c>
      <c r="K806" s="18" t="s">
        <v>14</v>
      </c>
      <c r="L806" s="18">
        <v>1</v>
      </c>
      <c r="M806" s="22" t="s">
        <v>34</v>
      </c>
    </row>
    <row r="807" spans="1:13" x14ac:dyDescent="0.35">
      <c r="A807" s="18">
        <v>24</v>
      </c>
      <c r="B807" s="22" t="s">
        <v>38</v>
      </c>
      <c r="C807" s="18" t="s">
        <v>19</v>
      </c>
      <c r="D807" s="18">
        <v>2</v>
      </c>
      <c r="E807" s="18" t="s">
        <v>21</v>
      </c>
      <c r="F807" s="18" t="s">
        <v>24</v>
      </c>
      <c r="G807" s="18" t="s">
        <v>24</v>
      </c>
      <c r="H807" s="18">
        <v>9271</v>
      </c>
      <c r="I807" s="22" t="s">
        <v>42</v>
      </c>
      <c r="J807" s="18">
        <v>36</v>
      </c>
      <c r="K807" s="18" t="s">
        <v>14</v>
      </c>
      <c r="L807" s="18">
        <v>2</v>
      </c>
      <c r="M807" s="22" t="s">
        <v>45</v>
      </c>
    </row>
    <row r="808" spans="1:13" x14ac:dyDescent="0.35">
      <c r="A808" s="18">
        <v>26</v>
      </c>
      <c r="B808" s="22" t="s">
        <v>38</v>
      </c>
      <c r="C808" s="18" t="s">
        <v>19</v>
      </c>
      <c r="D808" s="18">
        <v>1</v>
      </c>
      <c r="E808" s="18" t="s">
        <v>21</v>
      </c>
      <c r="F808" s="18" t="s">
        <v>24</v>
      </c>
      <c r="G808" s="18" t="s">
        <v>27</v>
      </c>
      <c r="H808" s="18">
        <v>590</v>
      </c>
      <c r="I808" s="22" t="s">
        <v>46</v>
      </c>
      <c r="J808" s="18">
        <v>6</v>
      </c>
      <c r="K808" s="18" t="s">
        <v>11</v>
      </c>
      <c r="L808" s="18">
        <v>1</v>
      </c>
      <c r="M808" s="22" t="s">
        <v>34</v>
      </c>
    </row>
    <row r="809" spans="1:13" x14ac:dyDescent="0.35">
      <c r="A809" s="18">
        <v>65</v>
      </c>
      <c r="B809" s="22" t="s">
        <v>37</v>
      </c>
      <c r="C809" s="18" t="s">
        <v>19</v>
      </c>
      <c r="D809" s="18">
        <v>2</v>
      </c>
      <c r="E809" s="18" t="s">
        <v>21</v>
      </c>
      <c r="F809" s="18" t="s">
        <v>10</v>
      </c>
      <c r="G809" s="18" t="s">
        <v>10</v>
      </c>
      <c r="H809" s="18">
        <v>930</v>
      </c>
      <c r="I809" s="22" t="s">
        <v>46</v>
      </c>
      <c r="J809" s="18">
        <v>12</v>
      </c>
      <c r="K809" s="18" t="s">
        <v>11</v>
      </c>
      <c r="L809" s="18">
        <v>1</v>
      </c>
      <c r="M809" s="22" t="s">
        <v>34</v>
      </c>
    </row>
    <row r="810" spans="1:13" x14ac:dyDescent="0.35">
      <c r="A810" s="18">
        <v>55</v>
      </c>
      <c r="B810" s="22" t="s">
        <v>37</v>
      </c>
      <c r="C810" s="18" t="s">
        <v>19</v>
      </c>
      <c r="D810" s="18">
        <v>3</v>
      </c>
      <c r="E810" s="18" t="s">
        <v>22</v>
      </c>
      <c r="F810" s="18" t="s">
        <v>24</v>
      </c>
      <c r="G810" s="18" t="s">
        <v>27</v>
      </c>
      <c r="H810" s="18">
        <v>9283</v>
      </c>
      <c r="I810" s="22" t="s">
        <v>42</v>
      </c>
      <c r="J810" s="18">
        <v>42</v>
      </c>
      <c r="K810" s="18" t="s">
        <v>14</v>
      </c>
      <c r="L810" s="18">
        <v>1</v>
      </c>
      <c r="M810" s="22" t="s">
        <v>34</v>
      </c>
    </row>
    <row r="811" spans="1:13" x14ac:dyDescent="0.35">
      <c r="A811" s="18">
        <v>26</v>
      </c>
      <c r="B811" s="22" t="s">
        <v>38</v>
      </c>
      <c r="C811" s="18" t="s">
        <v>20</v>
      </c>
      <c r="D811" s="18">
        <v>0</v>
      </c>
      <c r="E811" s="18" t="s">
        <v>23</v>
      </c>
      <c r="F811" s="18" t="s">
        <v>24</v>
      </c>
      <c r="G811" s="18" t="s">
        <v>27</v>
      </c>
      <c r="H811" s="18">
        <v>1778</v>
      </c>
      <c r="I811" s="22" t="s">
        <v>46</v>
      </c>
      <c r="J811" s="18">
        <v>15</v>
      </c>
      <c r="K811" s="18" t="s">
        <v>14</v>
      </c>
      <c r="L811" s="18">
        <v>2</v>
      </c>
      <c r="M811" s="22" t="s">
        <v>45</v>
      </c>
    </row>
    <row r="812" spans="1:13" x14ac:dyDescent="0.35">
      <c r="A812" s="18">
        <v>26</v>
      </c>
      <c r="B812" s="22" t="s">
        <v>38</v>
      </c>
      <c r="C812" s="18" t="s">
        <v>19</v>
      </c>
      <c r="D812" s="18">
        <v>2</v>
      </c>
      <c r="E812" s="18" t="s">
        <v>21</v>
      </c>
      <c r="F812" s="18" t="s">
        <v>24</v>
      </c>
      <c r="G812" s="18" t="s">
        <v>27</v>
      </c>
      <c r="H812" s="18">
        <v>907</v>
      </c>
      <c r="I812" s="22" t="s">
        <v>46</v>
      </c>
      <c r="J812" s="18">
        <v>8</v>
      </c>
      <c r="K812" s="18" t="s">
        <v>15</v>
      </c>
      <c r="L812" s="18">
        <v>1</v>
      </c>
      <c r="M812" s="22" t="s">
        <v>34</v>
      </c>
    </row>
    <row r="813" spans="1:13" x14ac:dyDescent="0.35">
      <c r="A813" s="18">
        <v>28</v>
      </c>
      <c r="B813" s="22" t="s">
        <v>38</v>
      </c>
      <c r="C813" s="18" t="s">
        <v>19</v>
      </c>
      <c r="D813" s="18">
        <v>1</v>
      </c>
      <c r="E813" s="18" t="s">
        <v>21</v>
      </c>
      <c r="F813" s="18" t="s">
        <v>24</v>
      </c>
      <c r="G813" s="18" t="s">
        <v>27</v>
      </c>
      <c r="H813" s="18">
        <v>484</v>
      </c>
      <c r="I813" s="22" t="s">
        <v>46</v>
      </c>
      <c r="J813" s="18">
        <v>6</v>
      </c>
      <c r="K813" s="18" t="s">
        <v>11</v>
      </c>
      <c r="L813" s="18">
        <v>1</v>
      </c>
      <c r="M813" s="22" t="s">
        <v>34</v>
      </c>
    </row>
    <row r="814" spans="1:13" x14ac:dyDescent="0.35">
      <c r="A814" s="18">
        <v>24</v>
      </c>
      <c r="B814" s="22" t="s">
        <v>38</v>
      </c>
      <c r="C814" s="18" t="s">
        <v>19</v>
      </c>
      <c r="D814" s="18">
        <v>2</v>
      </c>
      <c r="E814" s="18" t="s">
        <v>21</v>
      </c>
      <c r="F814" s="18" t="s">
        <v>24</v>
      </c>
      <c r="G814" s="18" t="s">
        <v>24</v>
      </c>
      <c r="H814" s="18">
        <v>9629</v>
      </c>
      <c r="I814" s="22" t="s">
        <v>42</v>
      </c>
      <c r="J814" s="18">
        <v>36</v>
      </c>
      <c r="K814" s="18" t="s">
        <v>14</v>
      </c>
      <c r="L814" s="18">
        <v>2</v>
      </c>
      <c r="M814" s="22" t="s">
        <v>45</v>
      </c>
    </row>
    <row r="815" spans="1:13" x14ac:dyDescent="0.35">
      <c r="A815" s="18">
        <v>54</v>
      </c>
      <c r="B815" s="22" t="s">
        <v>37</v>
      </c>
      <c r="C815" s="18" t="s">
        <v>19</v>
      </c>
      <c r="D815" s="18">
        <v>2</v>
      </c>
      <c r="E815" s="18" t="s">
        <v>21</v>
      </c>
      <c r="F815" s="18" t="s">
        <v>24</v>
      </c>
      <c r="G815" s="18" t="s">
        <v>24</v>
      </c>
      <c r="H815" s="18">
        <v>3051</v>
      </c>
      <c r="I815" s="22" t="s">
        <v>43</v>
      </c>
      <c r="J815" s="18">
        <v>48</v>
      </c>
      <c r="K815" s="18" t="s">
        <v>16</v>
      </c>
      <c r="L815" s="18">
        <v>2</v>
      </c>
      <c r="M815" s="22" t="s">
        <v>45</v>
      </c>
    </row>
    <row r="816" spans="1:13" x14ac:dyDescent="0.35">
      <c r="A816" s="18">
        <v>46</v>
      </c>
      <c r="B816" s="22" t="s">
        <v>39</v>
      </c>
      <c r="C816" s="18" t="s">
        <v>19</v>
      </c>
      <c r="D816" s="18">
        <v>2</v>
      </c>
      <c r="E816" s="18" t="s">
        <v>22</v>
      </c>
      <c r="F816" s="18" t="s">
        <v>24</v>
      </c>
      <c r="G816" s="18" t="s">
        <v>24</v>
      </c>
      <c r="H816" s="18">
        <v>3931</v>
      </c>
      <c r="I816" s="22" t="s">
        <v>43</v>
      </c>
      <c r="J816" s="18">
        <v>48</v>
      </c>
      <c r="K816" s="18" t="s">
        <v>14</v>
      </c>
      <c r="L816" s="18">
        <v>2</v>
      </c>
      <c r="M816" s="22" t="s">
        <v>45</v>
      </c>
    </row>
    <row r="817" spans="1:13" x14ac:dyDescent="0.35">
      <c r="A817" s="18">
        <v>54</v>
      </c>
      <c r="B817" s="22" t="s">
        <v>37</v>
      </c>
      <c r="C817" s="18" t="s">
        <v>20</v>
      </c>
      <c r="D817" s="18">
        <v>2</v>
      </c>
      <c r="E817" s="18" t="s">
        <v>23</v>
      </c>
      <c r="F817" s="18" t="s">
        <v>24</v>
      </c>
      <c r="G817" s="18" t="s">
        <v>27</v>
      </c>
      <c r="H817" s="18">
        <v>7432</v>
      </c>
      <c r="I817" s="22" t="s">
        <v>42</v>
      </c>
      <c r="J817" s="18">
        <v>36</v>
      </c>
      <c r="K817" s="18" t="s">
        <v>14</v>
      </c>
      <c r="L817" s="18">
        <v>1</v>
      </c>
      <c r="M817" s="22" t="s">
        <v>34</v>
      </c>
    </row>
    <row r="818" spans="1:13" x14ac:dyDescent="0.35">
      <c r="A818" s="18">
        <v>62</v>
      </c>
      <c r="B818" s="22" t="s">
        <v>37</v>
      </c>
      <c r="C818" s="18" t="s">
        <v>19</v>
      </c>
      <c r="D818" s="18">
        <v>2</v>
      </c>
      <c r="E818" s="18" t="s">
        <v>21</v>
      </c>
      <c r="F818" s="18" t="s">
        <v>25</v>
      </c>
      <c r="G818" s="18" t="s">
        <v>10</v>
      </c>
      <c r="H818" s="18">
        <v>1338</v>
      </c>
      <c r="I818" s="22" t="s">
        <v>46</v>
      </c>
      <c r="J818" s="18">
        <v>6</v>
      </c>
      <c r="K818" s="18" t="s">
        <v>16</v>
      </c>
      <c r="L818" s="18">
        <v>1</v>
      </c>
      <c r="M818" s="22" t="s">
        <v>34</v>
      </c>
    </row>
    <row r="819" spans="1:13" x14ac:dyDescent="0.35">
      <c r="A819" s="18">
        <v>24</v>
      </c>
      <c r="B819" s="22" t="s">
        <v>38</v>
      </c>
      <c r="C819" s="18" t="s">
        <v>20</v>
      </c>
      <c r="D819" s="18">
        <v>2</v>
      </c>
      <c r="E819" s="18" t="s">
        <v>23</v>
      </c>
      <c r="F819" s="18" t="s">
        <v>24</v>
      </c>
      <c r="G819" s="18" t="s">
        <v>10</v>
      </c>
      <c r="H819" s="18">
        <v>1554</v>
      </c>
      <c r="I819" s="22" t="s">
        <v>46</v>
      </c>
      <c r="J819" s="18">
        <v>6</v>
      </c>
      <c r="K819" s="18" t="s">
        <v>11</v>
      </c>
      <c r="L819" s="18">
        <v>1</v>
      </c>
      <c r="M819" s="22" t="s">
        <v>34</v>
      </c>
    </row>
    <row r="820" spans="1:13" x14ac:dyDescent="0.35">
      <c r="A820" s="18">
        <v>43</v>
      </c>
      <c r="B820" s="22" t="s">
        <v>39</v>
      </c>
      <c r="C820" s="18" t="s">
        <v>19</v>
      </c>
      <c r="D820" s="18">
        <v>3</v>
      </c>
      <c r="E820" s="18" t="s">
        <v>21</v>
      </c>
      <c r="F820" s="18" t="s">
        <v>24</v>
      </c>
      <c r="G820" s="18" t="s">
        <v>24</v>
      </c>
      <c r="H820" s="18">
        <v>15857</v>
      </c>
      <c r="I820" s="22" t="s">
        <v>42</v>
      </c>
      <c r="J820" s="18">
        <v>36</v>
      </c>
      <c r="K820" s="18" t="s">
        <v>18</v>
      </c>
      <c r="L820" s="18">
        <v>1</v>
      </c>
      <c r="M820" s="22" t="s">
        <v>34</v>
      </c>
    </row>
    <row r="821" spans="1:13" x14ac:dyDescent="0.35">
      <c r="A821" s="18">
        <v>26</v>
      </c>
      <c r="B821" s="22" t="s">
        <v>38</v>
      </c>
      <c r="C821" s="18" t="s">
        <v>19</v>
      </c>
      <c r="D821" s="18">
        <v>2</v>
      </c>
      <c r="E821" s="18" t="s">
        <v>21</v>
      </c>
      <c r="F821" s="18" t="s">
        <v>24</v>
      </c>
      <c r="G821" s="18" t="s">
        <v>24</v>
      </c>
      <c r="H821" s="18">
        <v>1345</v>
      </c>
      <c r="I821" s="22" t="s">
        <v>46</v>
      </c>
      <c r="J821" s="18">
        <v>18</v>
      </c>
      <c r="K821" s="18" t="s">
        <v>11</v>
      </c>
      <c r="L821" s="18">
        <v>2</v>
      </c>
      <c r="M821" s="22" t="s">
        <v>45</v>
      </c>
    </row>
    <row r="822" spans="1:13" x14ac:dyDescent="0.35">
      <c r="A822" s="18">
        <v>27</v>
      </c>
      <c r="B822" s="22" t="s">
        <v>38</v>
      </c>
      <c r="C822" s="18" t="s">
        <v>19</v>
      </c>
      <c r="D822" s="18">
        <v>2</v>
      </c>
      <c r="E822" s="18" t="s">
        <v>21</v>
      </c>
      <c r="F822" s="18" t="s">
        <v>24</v>
      </c>
      <c r="G822" s="18" t="s">
        <v>10</v>
      </c>
      <c r="H822" s="18">
        <v>1101</v>
      </c>
      <c r="I822" s="22" t="s">
        <v>46</v>
      </c>
      <c r="J822" s="18">
        <v>12</v>
      </c>
      <c r="K822" s="18" t="s">
        <v>14</v>
      </c>
      <c r="L822" s="18">
        <v>1</v>
      </c>
      <c r="M822" s="22" t="s">
        <v>34</v>
      </c>
    </row>
    <row r="823" spans="1:13" x14ac:dyDescent="0.35">
      <c r="A823" s="18">
        <v>24</v>
      </c>
      <c r="B823" s="22" t="s">
        <v>38</v>
      </c>
      <c r="C823" s="18" t="s">
        <v>19</v>
      </c>
      <c r="D823" s="18">
        <v>2</v>
      </c>
      <c r="E823" s="18" t="s">
        <v>21</v>
      </c>
      <c r="F823" s="18" t="s">
        <v>24</v>
      </c>
      <c r="G823" s="18" t="s">
        <v>26</v>
      </c>
      <c r="H823" s="18">
        <v>3016</v>
      </c>
      <c r="I823" s="22" t="s">
        <v>43</v>
      </c>
      <c r="J823" s="18">
        <v>12</v>
      </c>
      <c r="K823" s="18" t="s">
        <v>11</v>
      </c>
      <c r="L823" s="18">
        <v>1</v>
      </c>
      <c r="M823" s="22" t="s">
        <v>34</v>
      </c>
    </row>
    <row r="824" spans="1:13" x14ac:dyDescent="0.35">
      <c r="A824" s="18">
        <v>41</v>
      </c>
      <c r="B824" s="22" t="s">
        <v>39</v>
      </c>
      <c r="C824" s="18" t="s">
        <v>19</v>
      </c>
      <c r="D824" s="18">
        <v>2</v>
      </c>
      <c r="E824" s="18" t="s">
        <v>21</v>
      </c>
      <c r="F824" s="18" t="s">
        <v>24</v>
      </c>
      <c r="G824" s="18" t="s">
        <v>24</v>
      </c>
      <c r="H824" s="18">
        <v>2712</v>
      </c>
      <c r="I824" s="22" t="s">
        <v>43</v>
      </c>
      <c r="J824" s="18">
        <v>36</v>
      </c>
      <c r="K824" s="18" t="s">
        <v>13</v>
      </c>
      <c r="L824" s="18">
        <v>2</v>
      </c>
      <c r="M824" s="22" t="s">
        <v>45</v>
      </c>
    </row>
    <row r="825" spans="1:13" x14ac:dyDescent="0.35">
      <c r="A825" s="18">
        <v>47</v>
      </c>
      <c r="B825" s="22" t="s">
        <v>39</v>
      </c>
      <c r="C825" s="18" t="s">
        <v>19</v>
      </c>
      <c r="D825" s="18">
        <v>1</v>
      </c>
      <c r="E825" s="18" t="s">
        <v>21</v>
      </c>
      <c r="F825" s="18" t="s">
        <v>24</v>
      </c>
      <c r="G825" s="18" t="s">
        <v>24</v>
      </c>
      <c r="H825" s="18">
        <v>731</v>
      </c>
      <c r="I825" s="22" t="s">
        <v>46</v>
      </c>
      <c r="J825" s="18">
        <v>8</v>
      </c>
      <c r="K825" s="18" t="s">
        <v>14</v>
      </c>
      <c r="L825" s="18">
        <v>1</v>
      </c>
      <c r="M825" s="22" t="s">
        <v>34</v>
      </c>
    </row>
    <row r="826" spans="1:13" x14ac:dyDescent="0.35">
      <c r="A826" s="18">
        <v>35</v>
      </c>
      <c r="B826" s="22" t="s">
        <v>39</v>
      </c>
      <c r="C826" s="18" t="s">
        <v>19</v>
      </c>
      <c r="D826" s="18">
        <v>3</v>
      </c>
      <c r="E826" s="18" t="s">
        <v>21</v>
      </c>
      <c r="F826" s="18" t="s">
        <v>24</v>
      </c>
      <c r="G826" s="18" t="s">
        <v>10</v>
      </c>
      <c r="H826" s="18">
        <v>3780</v>
      </c>
      <c r="I826" s="22" t="s">
        <v>43</v>
      </c>
      <c r="J826" s="18">
        <v>18</v>
      </c>
      <c r="K826" s="18" t="s">
        <v>13</v>
      </c>
      <c r="L826" s="18">
        <v>1</v>
      </c>
      <c r="M826" s="22" t="s">
        <v>34</v>
      </c>
    </row>
    <row r="827" spans="1:13" x14ac:dyDescent="0.35">
      <c r="A827" s="18">
        <v>30</v>
      </c>
      <c r="B827" s="22" t="s">
        <v>39</v>
      </c>
      <c r="C827" s="18" t="s">
        <v>19</v>
      </c>
      <c r="D827" s="18">
        <v>2</v>
      </c>
      <c r="E827" s="18" t="s">
        <v>21</v>
      </c>
      <c r="F827" s="18" t="s">
        <v>24</v>
      </c>
      <c r="G827" s="18" t="s">
        <v>24</v>
      </c>
      <c r="H827" s="18">
        <v>1602</v>
      </c>
      <c r="I827" s="22" t="s">
        <v>46</v>
      </c>
      <c r="J827" s="18">
        <v>21</v>
      </c>
      <c r="K827" s="18" t="s">
        <v>14</v>
      </c>
      <c r="L827" s="18">
        <v>1</v>
      </c>
      <c r="M827" s="22" t="s">
        <v>34</v>
      </c>
    </row>
    <row r="828" spans="1:13" x14ac:dyDescent="0.35">
      <c r="A828" s="18">
        <v>33</v>
      </c>
      <c r="B828" s="22" t="s">
        <v>39</v>
      </c>
      <c r="C828" s="18" t="s">
        <v>20</v>
      </c>
      <c r="D828" s="18">
        <v>2</v>
      </c>
      <c r="E828" s="18" t="s">
        <v>23</v>
      </c>
      <c r="F828" s="18" t="s">
        <v>24</v>
      </c>
      <c r="G828" s="18" t="s">
        <v>24</v>
      </c>
      <c r="H828" s="18">
        <v>3966</v>
      </c>
      <c r="I828" s="22" t="s">
        <v>43</v>
      </c>
      <c r="J828" s="18">
        <v>18</v>
      </c>
      <c r="K828" s="18" t="s">
        <v>14</v>
      </c>
      <c r="L828" s="18">
        <v>2</v>
      </c>
      <c r="M828" s="22" t="s">
        <v>45</v>
      </c>
    </row>
    <row r="829" spans="1:13" x14ac:dyDescent="0.35">
      <c r="A829" s="18">
        <v>36</v>
      </c>
      <c r="B829" s="22" t="s">
        <v>39</v>
      </c>
      <c r="C829" s="18" t="s">
        <v>19</v>
      </c>
      <c r="D829" s="18">
        <v>2</v>
      </c>
      <c r="E829" s="18" t="s">
        <v>21</v>
      </c>
      <c r="F829" s="18" t="s">
        <v>24</v>
      </c>
      <c r="G829" s="18" t="s">
        <v>10</v>
      </c>
      <c r="H829" s="18">
        <v>4165</v>
      </c>
      <c r="I829" s="22" t="s">
        <v>43</v>
      </c>
      <c r="J829" s="18">
        <v>18</v>
      </c>
      <c r="K829" s="18" t="s">
        <v>15</v>
      </c>
      <c r="L829" s="18">
        <v>2</v>
      </c>
      <c r="M829" s="22" t="s">
        <v>45</v>
      </c>
    </row>
    <row r="830" spans="1:13" x14ac:dyDescent="0.35">
      <c r="A830" s="18">
        <v>47</v>
      </c>
      <c r="B830" s="22" t="s">
        <v>39</v>
      </c>
      <c r="C830" s="18" t="s">
        <v>19</v>
      </c>
      <c r="D830" s="18">
        <v>2</v>
      </c>
      <c r="E830" s="18" t="s">
        <v>22</v>
      </c>
      <c r="F830" s="18" t="s">
        <v>10</v>
      </c>
      <c r="G830" s="18" t="s">
        <v>24</v>
      </c>
      <c r="H830" s="18">
        <v>8335</v>
      </c>
      <c r="I830" s="22" t="s">
        <v>42</v>
      </c>
      <c r="J830" s="18">
        <v>36</v>
      </c>
      <c r="K830" s="18" t="s">
        <v>14</v>
      </c>
      <c r="L830" s="18">
        <v>2</v>
      </c>
      <c r="M830" s="22" t="s">
        <v>45</v>
      </c>
    </row>
    <row r="831" spans="1:13" x14ac:dyDescent="0.35">
      <c r="A831" s="18">
        <v>38</v>
      </c>
      <c r="B831" s="22" t="s">
        <v>39</v>
      </c>
      <c r="C831" s="18" t="s">
        <v>19</v>
      </c>
      <c r="D831" s="18">
        <v>2</v>
      </c>
      <c r="E831" s="18" t="s">
        <v>22</v>
      </c>
      <c r="F831" s="18" t="s">
        <v>10</v>
      </c>
      <c r="G831" s="18" t="s">
        <v>27</v>
      </c>
      <c r="H831" s="18">
        <v>6681</v>
      </c>
      <c r="I831" s="22" t="s">
        <v>42</v>
      </c>
      <c r="J831" s="18">
        <v>48</v>
      </c>
      <c r="K831" s="18" t="s">
        <v>15</v>
      </c>
      <c r="L831" s="18">
        <v>1</v>
      </c>
      <c r="M831" s="22" t="s">
        <v>34</v>
      </c>
    </row>
    <row r="832" spans="1:13" x14ac:dyDescent="0.35">
      <c r="A832" s="18">
        <v>44</v>
      </c>
      <c r="B832" s="22" t="s">
        <v>39</v>
      </c>
      <c r="C832" s="18" t="s">
        <v>19</v>
      </c>
      <c r="D832" s="18">
        <v>2</v>
      </c>
      <c r="E832" s="18" t="s">
        <v>21</v>
      </c>
      <c r="F832" s="18" t="s">
        <v>25</v>
      </c>
      <c r="G832" s="18" t="s">
        <v>10</v>
      </c>
      <c r="H832" s="18">
        <v>2375</v>
      </c>
      <c r="I832" s="22" t="s">
        <v>43</v>
      </c>
      <c r="J832" s="18">
        <v>24</v>
      </c>
      <c r="K832" s="18" t="s">
        <v>15</v>
      </c>
      <c r="L832" s="18">
        <v>1</v>
      </c>
      <c r="M832" s="22" t="s">
        <v>34</v>
      </c>
    </row>
    <row r="833" spans="1:13" x14ac:dyDescent="0.35">
      <c r="A833" s="18">
        <v>23</v>
      </c>
      <c r="B833" s="22" t="s">
        <v>38</v>
      </c>
      <c r="C833" s="18" t="s">
        <v>20</v>
      </c>
      <c r="D833" s="18">
        <v>2</v>
      </c>
      <c r="E833" s="18" t="s">
        <v>23</v>
      </c>
      <c r="F833" s="18" t="s">
        <v>24</v>
      </c>
      <c r="G833" s="18" t="s">
        <v>24</v>
      </c>
      <c r="H833" s="18">
        <v>1216</v>
      </c>
      <c r="I833" s="22" t="s">
        <v>46</v>
      </c>
      <c r="J833" s="18">
        <v>18</v>
      </c>
      <c r="K833" s="18" t="s">
        <v>14</v>
      </c>
      <c r="L833" s="18">
        <v>2</v>
      </c>
      <c r="M833" s="22" t="s">
        <v>45</v>
      </c>
    </row>
    <row r="834" spans="1:13" x14ac:dyDescent="0.35">
      <c r="A834" s="18">
        <v>29</v>
      </c>
      <c r="B834" s="22" t="s">
        <v>38</v>
      </c>
      <c r="C834" s="18" t="s">
        <v>19</v>
      </c>
      <c r="D834" s="18">
        <v>2</v>
      </c>
      <c r="E834" s="18" t="s">
        <v>23</v>
      </c>
      <c r="F834" s="18" t="s">
        <v>24</v>
      </c>
      <c r="G834" s="18" t="s">
        <v>24</v>
      </c>
      <c r="H834" s="18">
        <v>11816</v>
      </c>
      <c r="I834" s="22" t="s">
        <v>42</v>
      </c>
      <c r="J834" s="18">
        <v>45</v>
      </c>
      <c r="K834" s="18" t="s">
        <v>15</v>
      </c>
      <c r="L834" s="18">
        <v>2</v>
      </c>
      <c r="M834" s="22" t="s">
        <v>45</v>
      </c>
    </row>
    <row r="835" spans="1:13" x14ac:dyDescent="0.35">
      <c r="A835" s="18">
        <v>42</v>
      </c>
      <c r="B835" s="22" t="s">
        <v>39</v>
      </c>
      <c r="C835" s="18" t="s">
        <v>20</v>
      </c>
      <c r="D835" s="18">
        <v>2</v>
      </c>
      <c r="E835" s="18" t="s">
        <v>21</v>
      </c>
      <c r="F835" s="18" t="s">
        <v>10</v>
      </c>
      <c r="G835" s="18" t="s">
        <v>27</v>
      </c>
      <c r="H835" s="18">
        <v>5084</v>
      </c>
      <c r="I835" s="22" t="s">
        <v>42</v>
      </c>
      <c r="J835" s="18">
        <v>24</v>
      </c>
      <c r="K835" s="18" t="s">
        <v>11</v>
      </c>
      <c r="L835" s="18">
        <v>1</v>
      </c>
      <c r="M835" s="22" t="s">
        <v>34</v>
      </c>
    </row>
    <row r="836" spans="1:13" x14ac:dyDescent="0.35">
      <c r="A836" s="18">
        <v>25</v>
      </c>
      <c r="B836" s="22" t="s">
        <v>38</v>
      </c>
      <c r="C836" s="18" t="s">
        <v>20</v>
      </c>
      <c r="D836" s="18">
        <v>1</v>
      </c>
      <c r="E836" s="18" t="s">
        <v>21</v>
      </c>
      <c r="F836" s="18" t="s">
        <v>24</v>
      </c>
      <c r="G836" s="18" t="s">
        <v>26</v>
      </c>
      <c r="H836" s="18">
        <v>2327</v>
      </c>
      <c r="I836" s="22" t="s">
        <v>43</v>
      </c>
      <c r="J836" s="18">
        <v>15</v>
      </c>
      <c r="K836" s="18" t="s">
        <v>11</v>
      </c>
      <c r="L836" s="18">
        <v>2</v>
      </c>
      <c r="M836" s="22" t="s">
        <v>45</v>
      </c>
    </row>
    <row r="837" spans="1:13" x14ac:dyDescent="0.35">
      <c r="A837" s="18">
        <v>48</v>
      </c>
      <c r="B837" s="22" t="s">
        <v>39</v>
      </c>
      <c r="C837" s="18" t="s">
        <v>19</v>
      </c>
      <c r="D837" s="18">
        <v>2</v>
      </c>
      <c r="E837" s="18" t="s">
        <v>21</v>
      </c>
      <c r="F837" s="18" t="s">
        <v>24</v>
      </c>
      <c r="G837" s="18" t="s">
        <v>24</v>
      </c>
      <c r="H837" s="18">
        <v>1082</v>
      </c>
      <c r="I837" s="22" t="s">
        <v>46</v>
      </c>
      <c r="J837" s="18">
        <v>12</v>
      </c>
      <c r="K837" s="18" t="s">
        <v>14</v>
      </c>
      <c r="L837" s="18">
        <v>2</v>
      </c>
      <c r="M837" s="22" t="s">
        <v>45</v>
      </c>
    </row>
    <row r="838" spans="1:13" x14ac:dyDescent="0.35">
      <c r="A838" s="18">
        <v>21</v>
      </c>
      <c r="B838" s="22" t="s">
        <v>38</v>
      </c>
      <c r="C838" s="18" t="s">
        <v>20</v>
      </c>
      <c r="D838" s="18">
        <v>2</v>
      </c>
      <c r="E838" s="18" t="s">
        <v>21</v>
      </c>
      <c r="F838" s="18" t="s">
        <v>10</v>
      </c>
      <c r="G838" s="18" t="s">
        <v>10</v>
      </c>
      <c r="H838" s="18">
        <v>886</v>
      </c>
      <c r="I838" s="22" t="s">
        <v>46</v>
      </c>
      <c r="J838" s="18">
        <v>12</v>
      </c>
      <c r="K838" s="18" t="s">
        <v>11</v>
      </c>
      <c r="L838" s="18">
        <v>1</v>
      </c>
      <c r="M838" s="22" t="s">
        <v>34</v>
      </c>
    </row>
    <row r="839" spans="1:13" x14ac:dyDescent="0.35">
      <c r="A839" s="18">
        <v>23</v>
      </c>
      <c r="B839" s="22" t="s">
        <v>38</v>
      </c>
      <c r="C839" s="18" t="s">
        <v>20</v>
      </c>
      <c r="D839" s="18">
        <v>1</v>
      </c>
      <c r="E839" s="18" t="s">
        <v>23</v>
      </c>
      <c r="F839" s="18" t="s">
        <v>24</v>
      </c>
      <c r="G839" s="18" t="s">
        <v>10</v>
      </c>
      <c r="H839" s="18">
        <v>601</v>
      </c>
      <c r="I839" s="22" t="s">
        <v>46</v>
      </c>
      <c r="J839" s="18">
        <v>4</v>
      </c>
      <c r="K839" s="18" t="s">
        <v>13</v>
      </c>
      <c r="L839" s="18">
        <v>1</v>
      </c>
      <c r="M839" s="22" t="s">
        <v>34</v>
      </c>
    </row>
    <row r="840" spans="1:13" x14ac:dyDescent="0.35">
      <c r="A840" s="18">
        <v>63</v>
      </c>
      <c r="B840" s="22" t="s">
        <v>37</v>
      </c>
      <c r="C840" s="18" t="s">
        <v>19</v>
      </c>
      <c r="D840" s="18">
        <v>2</v>
      </c>
      <c r="E840" s="18" t="s">
        <v>21</v>
      </c>
      <c r="F840" s="18" t="s">
        <v>24</v>
      </c>
      <c r="G840" s="18" t="s">
        <v>24</v>
      </c>
      <c r="H840" s="18">
        <v>2957</v>
      </c>
      <c r="I840" s="22" t="s">
        <v>43</v>
      </c>
      <c r="J840" s="18">
        <v>24</v>
      </c>
      <c r="K840" s="18" t="s">
        <v>14</v>
      </c>
      <c r="L840" s="18">
        <v>1</v>
      </c>
      <c r="M840" s="22" t="s">
        <v>34</v>
      </c>
    </row>
    <row r="841" spans="1:13" x14ac:dyDescent="0.35">
      <c r="A841" s="18">
        <v>46</v>
      </c>
      <c r="B841" s="22" t="s">
        <v>39</v>
      </c>
      <c r="C841" s="18" t="s">
        <v>19</v>
      </c>
      <c r="D841" s="18">
        <v>2</v>
      </c>
      <c r="E841" s="18" t="s">
        <v>21</v>
      </c>
      <c r="F841" s="18" t="s">
        <v>24</v>
      </c>
      <c r="G841" s="18" t="s">
        <v>10</v>
      </c>
      <c r="H841" s="18">
        <v>2611</v>
      </c>
      <c r="I841" s="22" t="s">
        <v>43</v>
      </c>
      <c r="J841" s="18">
        <v>24</v>
      </c>
      <c r="K841" s="18" t="s">
        <v>11</v>
      </c>
      <c r="L841" s="18">
        <v>1</v>
      </c>
      <c r="M841" s="22" t="s">
        <v>34</v>
      </c>
    </row>
    <row r="842" spans="1:13" x14ac:dyDescent="0.35">
      <c r="A842" s="18">
        <v>29</v>
      </c>
      <c r="B842" s="22" t="s">
        <v>38</v>
      </c>
      <c r="C842" s="18" t="s">
        <v>19</v>
      </c>
      <c r="D842" s="18">
        <v>2</v>
      </c>
      <c r="E842" s="18" t="s">
        <v>21</v>
      </c>
      <c r="F842" s="18" t="s">
        <v>24</v>
      </c>
      <c r="G842" s="18" t="s">
        <v>24</v>
      </c>
      <c r="H842" s="18">
        <v>5179</v>
      </c>
      <c r="I842" s="22" t="s">
        <v>42</v>
      </c>
      <c r="J842" s="18">
        <v>36</v>
      </c>
      <c r="K842" s="18" t="s">
        <v>13</v>
      </c>
      <c r="L842" s="18">
        <v>2</v>
      </c>
      <c r="M842" s="22" t="s">
        <v>45</v>
      </c>
    </row>
    <row r="843" spans="1:13" x14ac:dyDescent="0.35">
      <c r="A843" s="18">
        <v>28</v>
      </c>
      <c r="B843" s="22" t="s">
        <v>38</v>
      </c>
      <c r="C843" s="18" t="s">
        <v>19</v>
      </c>
      <c r="D843" s="18">
        <v>1</v>
      </c>
      <c r="E843" s="18" t="s">
        <v>21</v>
      </c>
      <c r="F843" s="18" t="s">
        <v>24</v>
      </c>
      <c r="G843" s="18" t="s">
        <v>10</v>
      </c>
      <c r="H843" s="18">
        <v>2993</v>
      </c>
      <c r="I843" s="22" t="s">
        <v>43</v>
      </c>
      <c r="J843" s="18">
        <v>21</v>
      </c>
      <c r="K843" s="18" t="s">
        <v>14</v>
      </c>
      <c r="L843" s="18">
        <v>1</v>
      </c>
      <c r="M843" s="22" t="s">
        <v>34</v>
      </c>
    </row>
    <row r="844" spans="1:13" x14ac:dyDescent="0.35">
      <c r="A844" s="18">
        <v>23</v>
      </c>
      <c r="B844" s="22" t="s">
        <v>38</v>
      </c>
      <c r="C844" s="18" t="s">
        <v>20</v>
      </c>
      <c r="D844" s="18">
        <v>2</v>
      </c>
      <c r="E844" s="18" t="s">
        <v>21</v>
      </c>
      <c r="F844" s="18" t="s">
        <v>24</v>
      </c>
      <c r="G844" s="18" t="s">
        <v>10</v>
      </c>
      <c r="H844" s="18">
        <v>1943</v>
      </c>
      <c r="I844" s="22" t="s">
        <v>46</v>
      </c>
      <c r="J844" s="18">
        <v>18</v>
      </c>
      <c r="K844" s="18" t="s">
        <v>17</v>
      </c>
      <c r="L844" s="18">
        <v>2</v>
      </c>
      <c r="M844" s="22" t="s">
        <v>45</v>
      </c>
    </row>
    <row r="845" spans="1:13" x14ac:dyDescent="0.35">
      <c r="A845" s="18">
        <v>50</v>
      </c>
      <c r="B845" s="22" t="s">
        <v>37</v>
      </c>
      <c r="C845" s="18" t="s">
        <v>19</v>
      </c>
      <c r="D845" s="18">
        <v>2</v>
      </c>
      <c r="E845" s="18" t="s">
        <v>21</v>
      </c>
      <c r="F845" s="18" t="s">
        <v>24</v>
      </c>
      <c r="G845" s="18" t="s">
        <v>10</v>
      </c>
      <c r="H845" s="18">
        <v>1559</v>
      </c>
      <c r="I845" s="22" t="s">
        <v>46</v>
      </c>
      <c r="J845" s="18">
        <v>24</v>
      </c>
      <c r="K845" s="18" t="s">
        <v>15</v>
      </c>
      <c r="L845" s="18">
        <v>1</v>
      </c>
      <c r="M845" s="22" t="s">
        <v>34</v>
      </c>
    </row>
    <row r="846" spans="1:13" x14ac:dyDescent="0.35">
      <c r="A846" s="18">
        <v>47</v>
      </c>
      <c r="B846" s="22" t="s">
        <v>39</v>
      </c>
      <c r="C846" s="18" t="s">
        <v>19</v>
      </c>
      <c r="D846" s="18">
        <v>2</v>
      </c>
      <c r="E846" s="18" t="s">
        <v>21</v>
      </c>
      <c r="F846" s="18" t="s">
        <v>24</v>
      </c>
      <c r="G846" s="18" t="s">
        <v>10</v>
      </c>
      <c r="H846" s="18">
        <v>3422</v>
      </c>
      <c r="I846" s="22" t="s">
        <v>43</v>
      </c>
      <c r="J846" s="18">
        <v>18</v>
      </c>
      <c r="K846" s="18" t="s">
        <v>13</v>
      </c>
      <c r="L846" s="18">
        <v>1</v>
      </c>
      <c r="M846" s="22" t="s">
        <v>34</v>
      </c>
    </row>
    <row r="847" spans="1:13" x14ac:dyDescent="0.35">
      <c r="A847" s="18">
        <v>35</v>
      </c>
      <c r="B847" s="22" t="s">
        <v>39</v>
      </c>
      <c r="C847" s="18" t="s">
        <v>19</v>
      </c>
      <c r="D847" s="18">
        <v>2</v>
      </c>
      <c r="E847" s="18" t="s">
        <v>21</v>
      </c>
      <c r="F847" s="18" t="s">
        <v>10</v>
      </c>
      <c r="G847" s="18" t="s">
        <v>27</v>
      </c>
      <c r="H847" s="18">
        <v>3976</v>
      </c>
      <c r="I847" s="22" t="s">
        <v>43</v>
      </c>
      <c r="J847" s="18">
        <v>21</v>
      </c>
      <c r="K847" s="18" t="s">
        <v>13</v>
      </c>
      <c r="L847" s="18">
        <v>1</v>
      </c>
      <c r="M847" s="22" t="s">
        <v>34</v>
      </c>
    </row>
    <row r="848" spans="1:13" x14ac:dyDescent="0.35">
      <c r="A848" s="18">
        <v>68</v>
      </c>
      <c r="B848" s="22" t="s">
        <v>37</v>
      </c>
      <c r="C848" s="18" t="s">
        <v>19</v>
      </c>
      <c r="D848" s="18">
        <v>2</v>
      </c>
      <c r="E848" s="18" t="s">
        <v>23</v>
      </c>
      <c r="F848" s="18" t="s">
        <v>10</v>
      </c>
      <c r="G848" s="18" t="s">
        <v>10</v>
      </c>
      <c r="H848" s="18">
        <v>6761</v>
      </c>
      <c r="I848" s="22" t="s">
        <v>42</v>
      </c>
      <c r="J848" s="18">
        <v>18</v>
      </c>
      <c r="K848" s="18" t="s">
        <v>14</v>
      </c>
      <c r="L848" s="18">
        <v>2</v>
      </c>
      <c r="M848" s="22" t="s">
        <v>45</v>
      </c>
    </row>
    <row r="849" spans="1:13" x14ac:dyDescent="0.35">
      <c r="A849" s="18">
        <v>28</v>
      </c>
      <c r="B849" s="22" t="s">
        <v>38</v>
      </c>
      <c r="C849" s="18" t="s">
        <v>19</v>
      </c>
      <c r="D849" s="18">
        <v>2</v>
      </c>
      <c r="E849" s="18" t="s">
        <v>21</v>
      </c>
      <c r="F849" s="18" t="s">
        <v>24</v>
      </c>
      <c r="G849" s="18" t="s">
        <v>10</v>
      </c>
      <c r="H849" s="18">
        <v>1249</v>
      </c>
      <c r="I849" s="22" t="s">
        <v>46</v>
      </c>
      <c r="J849" s="18">
        <v>24</v>
      </c>
      <c r="K849" s="18" t="s">
        <v>14</v>
      </c>
      <c r="L849" s="18">
        <v>1</v>
      </c>
      <c r="M849" s="22" t="s">
        <v>34</v>
      </c>
    </row>
    <row r="850" spans="1:13" x14ac:dyDescent="0.35">
      <c r="A850" s="18">
        <v>59</v>
      </c>
      <c r="B850" s="22" t="s">
        <v>37</v>
      </c>
      <c r="C850" s="18" t="s">
        <v>19</v>
      </c>
      <c r="D850" s="18">
        <v>2</v>
      </c>
      <c r="E850" s="18" t="s">
        <v>21</v>
      </c>
      <c r="F850" s="18" t="s">
        <v>24</v>
      </c>
      <c r="G850" s="18" t="s">
        <v>24</v>
      </c>
      <c r="H850" s="18">
        <v>1364</v>
      </c>
      <c r="I850" s="22" t="s">
        <v>46</v>
      </c>
      <c r="J850" s="18">
        <v>9</v>
      </c>
      <c r="K850" s="18" t="s">
        <v>11</v>
      </c>
      <c r="L850" s="18">
        <v>1</v>
      </c>
      <c r="M850" s="22" t="s">
        <v>34</v>
      </c>
    </row>
    <row r="851" spans="1:13" x14ac:dyDescent="0.35">
      <c r="A851" s="18">
        <v>57</v>
      </c>
      <c r="B851" s="22" t="s">
        <v>37</v>
      </c>
      <c r="C851" s="18" t="s">
        <v>19</v>
      </c>
      <c r="D851" s="18">
        <v>1</v>
      </c>
      <c r="E851" s="18" t="s">
        <v>21</v>
      </c>
      <c r="F851" s="18" t="s">
        <v>24</v>
      </c>
      <c r="G851" s="18" t="s">
        <v>24</v>
      </c>
      <c r="H851" s="18">
        <v>709</v>
      </c>
      <c r="I851" s="22" t="s">
        <v>46</v>
      </c>
      <c r="J851" s="18">
        <v>12</v>
      </c>
      <c r="K851" s="18" t="s">
        <v>11</v>
      </c>
      <c r="L851" s="18">
        <v>2</v>
      </c>
      <c r="M851" s="22" t="s">
        <v>45</v>
      </c>
    </row>
    <row r="852" spans="1:13" x14ac:dyDescent="0.35">
      <c r="A852" s="18">
        <v>33</v>
      </c>
      <c r="B852" s="22" t="s">
        <v>39</v>
      </c>
      <c r="C852" s="18" t="s">
        <v>19</v>
      </c>
      <c r="D852" s="18">
        <v>2</v>
      </c>
      <c r="E852" s="18" t="s">
        <v>23</v>
      </c>
      <c r="F852" s="18" t="s">
        <v>24</v>
      </c>
      <c r="G852" s="18" t="s">
        <v>24</v>
      </c>
      <c r="H852" s="18">
        <v>2235</v>
      </c>
      <c r="I852" s="22" t="s">
        <v>43</v>
      </c>
      <c r="J852" s="18">
        <v>20</v>
      </c>
      <c r="K852" s="18" t="s">
        <v>14</v>
      </c>
      <c r="L852" s="18">
        <v>2</v>
      </c>
      <c r="M852" s="22" t="s">
        <v>45</v>
      </c>
    </row>
    <row r="853" spans="1:13" x14ac:dyDescent="0.35">
      <c r="A853" s="18">
        <v>43</v>
      </c>
      <c r="B853" s="22" t="s">
        <v>39</v>
      </c>
      <c r="C853" s="18" t="s">
        <v>19</v>
      </c>
      <c r="D853" s="18">
        <v>2</v>
      </c>
      <c r="E853" s="18" t="s">
        <v>21</v>
      </c>
      <c r="F853" s="18" t="s">
        <v>10</v>
      </c>
      <c r="G853" s="18" t="s">
        <v>10</v>
      </c>
      <c r="H853" s="18">
        <v>4042</v>
      </c>
      <c r="I853" s="22" t="s">
        <v>43</v>
      </c>
      <c r="J853" s="18">
        <v>24</v>
      </c>
      <c r="K853" s="18" t="s">
        <v>14</v>
      </c>
      <c r="L853" s="18">
        <v>1</v>
      </c>
      <c r="M853" s="22" t="s">
        <v>34</v>
      </c>
    </row>
    <row r="854" spans="1:13" x14ac:dyDescent="0.35">
      <c r="A854" s="18">
        <v>35</v>
      </c>
      <c r="B854" s="22" t="s">
        <v>39</v>
      </c>
      <c r="C854" s="18" t="s">
        <v>19</v>
      </c>
      <c r="D854" s="18">
        <v>2</v>
      </c>
      <c r="E854" s="18" t="s">
        <v>22</v>
      </c>
      <c r="F854" s="18" t="s">
        <v>24</v>
      </c>
      <c r="G854" s="18" t="s">
        <v>10</v>
      </c>
      <c r="H854" s="18">
        <v>1471</v>
      </c>
      <c r="I854" s="22" t="s">
        <v>46</v>
      </c>
      <c r="J854" s="18">
        <v>15</v>
      </c>
      <c r="K854" s="18" t="s">
        <v>11</v>
      </c>
      <c r="L854" s="18">
        <v>1</v>
      </c>
      <c r="M854" s="22" t="s">
        <v>34</v>
      </c>
    </row>
    <row r="855" spans="1:13" x14ac:dyDescent="0.35">
      <c r="A855" s="18">
        <v>32</v>
      </c>
      <c r="B855" s="22" t="s">
        <v>39</v>
      </c>
      <c r="C855" s="18" t="s">
        <v>19</v>
      </c>
      <c r="D855" s="18">
        <v>1</v>
      </c>
      <c r="E855" s="18" t="s">
        <v>22</v>
      </c>
      <c r="F855" s="18" t="s">
        <v>24</v>
      </c>
      <c r="G855" s="18" t="s">
        <v>24</v>
      </c>
      <c r="H855" s="18">
        <v>1442</v>
      </c>
      <c r="I855" s="22" t="s">
        <v>46</v>
      </c>
      <c r="J855" s="18">
        <v>18</v>
      </c>
      <c r="K855" s="18" t="s">
        <v>14</v>
      </c>
      <c r="L855" s="18">
        <v>2</v>
      </c>
      <c r="M855" s="22" t="s">
        <v>45</v>
      </c>
    </row>
    <row r="856" spans="1:13" x14ac:dyDescent="0.35">
      <c r="A856" s="18">
        <v>45</v>
      </c>
      <c r="B856" s="22" t="s">
        <v>39</v>
      </c>
      <c r="C856" s="18" t="s">
        <v>19</v>
      </c>
      <c r="D856" s="18">
        <v>2</v>
      </c>
      <c r="E856" s="18" t="s">
        <v>21</v>
      </c>
      <c r="F856" s="18" t="s">
        <v>24</v>
      </c>
      <c r="G856" s="18" t="s">
        <v>10</v>
      </c>
      <c r="H856" s="18">
        <v>10875</v>
      </c>
      <c r="I856" s="22" t="s">
        <v>42</v>
      </c>
      <c r="J856" s="18">
        <v>36</v>
      </c>
      <c r="K856" s="18" t="s">
        <v>14</v>
      </c>
      <c r="L856" s="18">
        <v>1</v>
      </c>
      <c r="M856" s="22" t="s">
        <v>34</v>
      </c>
    </row>
    <row r="857" spans="1:13" x14ac:dyDescent="0.35">
      <c r="A857" s="18">
        <v>33</v>
      </c>
      <c r="B857" s="22" t="s">
        <v>39</v>
      </c>
      <c r="C857" s="18" t="s">
        <v>19</v>
      </c>
      <c r="D857" s="18">
        <v>2</v>
      </c>
      <c r="E857" s="18" t="s">
        <v>21</v>
      </c>
      <c r="F857" s="18" t="s">
        <v>27</v>
      </c>
      <c r="G857" s="18" t="s">
        <v>10</v>
      </c>
      <c r="H857" s="18">
        <v>1474</v>
      </c>
      <c r="I857" s="22" t="s">
        <v>46</v>
      </c>
      <c r="J857" s="18">
        <v>24</v>
      </c>
      <c r="K857" s="18" t="s">
        <v>14</v>
      </c>
      <c r="L857" s="18">
        <v>1</v>
      </c>
      <c r="M857" s="22" t="s">
        <v>34</v>
      </c>
    </row>
    <row r="858" spans="1:13" x14ac:dyDescent="0.35">
      <c r="A858" s="18">
        <v>40</v>
      </c>
      <c r="B858" s="22" t="s">
        <v>39</v>
      </c>
      <c r="C858" s="18" t="s">
        <v>20</v>
      </c>
      <c r="D858" s="18">
        <v>2</v>
      </c>
      <c r="E858" s="18" t="s">
        <v>21</v>
      </c>
      <c r="F858" s="18" t="s">
        <v>10</v>
      </c>
      <c r="G858" s="18" t="s">
        <v>10</v>
      </c>
      <c r="H858" s="18">
        <v>894</v>
      </c>
      <c r="I858" s="22" t="s">
        <v>46</v>
      </c>
      <c r="J858" s="18">
        <v>10</v>
      </c>
      <c r="K858" s="18" t="s">
        <v>12</v>
      </c>
      <c r="L858" s="18">
        <v>1</v>
      </c>
      <c r="M858" s="22" t="s">
        <v>34</v>
      </c>
    </row>
    <row r="859" spans="1:13" x14ac:dyDescent="0.35">
      <c r="A859" s="18">
        <v>28</v>
      </c>
      <c r="B859" s="22" t="s">
        <v>38</v>
      </c>
      <c r="C859" s="18" t="s">
        <v>19</v>
      </c>
      <c r="D859" s="18">
        <v>2</v>
      </c>
      <c r="E859" s="18" t="s">
        <v>22</v>
      </c>
      <c r="F859" s="18" t="s">
        <v>24</v>
      </c>
      <c r="G859" s="18" t="s">
        <v>10</v>
      </c>
      <c r="H859" s="18">
        <v>3343</v>
      </c>
      <c r="I859" s="22" t="s">
        <v>43</v>
      </c>
      <c r="J859" s="18">
        <v>15</v>
      </c>
      <c r="K859" s="18" t="s">
        <v>13</v>
      </c>
      <c r="L859" s="18">
        <v>1</v>
      </c>
      <c r="M859" s="22" t="s">
        <v>34</v>
      </c>
    </row>
    <row r="860" spans="1:13" x14ac:dyDescent="0.35">
      <c r="A860" s="18">
        <v>29</v>
      </c>
      <c r="B860" s="22" t="s">
        <v>38</v>
      </c>
      <c r="C860" s="18" t="s">
        <v>20</v>
      </c>
      <c r="D860" s="18">
        <v>2</v>
      </c>
      <c r="E860" s="18" t="s">
        <v>21</v>
      </c>
      <c r="F860" s="18" t="s">
        <v>24</v>
      </c>
      <c r="G860" s="18" t="s">
        <v>24</v>
      </c>
      <c r="H860" s="18">
        <v>3959</v>
      </c>
      <c r="I860" s="22" t="s">
        <v>43</v>
      </c>
      <c r="J860" s="18">
        <v>15</v>
      </c>
      <c r="K860" s="18" t="s">
        <v>14</v>
      </c>
      <c r="L860" s="18">
        <v>2</v>
      </c>
      <c r="M860" s="22" t="s">
        <v>45</v>
      </c>
    </row>
    <row r="861" spans="1:13" x14ac:dyDescent="0.35">
      <c r="A861" s="18">
        <v>26</v>
      </c>
      <c r="B861" s="22" t="s">
        <v>38</v>
      </c>
      <c r="C861" s="18" t="s">
        <v>19</v>
      </c>
      <c r="D861" s="18">
        <v>2</v>
      </c>
      <c r="E861" s="18" t="s">
        <v>23</v>
      </c>
      <c r="F861" s="18" t="s">
        <v>27</v>
      </c>
      <c r="G861" s="18" t="s">
        <v>10</v>
      </c>
      <c r="H861" s="18">
        <v>3577</v>
      </c>
      <c r="I861" s="22" t="s">
        <v>43</v>
      </c>
      <c r="J861" s="18">
        <v>9</v>
      </c>
      <c r="K861" s="18" t="s">
        <v>14</v>
      </c>
      <c r="L861" s="18">
        <v>1</v>
      </c>
      <c r="M861" s="22" t="s">
        <v>34</v>
      </c>
    </row>
    <row r="862" spans="1:13" x14ac:dyDescent="0.35">
      <c r="A862" s="18">
        <v>27</v>
      </c>
      <c r="B862" s="22" t="s">
        <v>38</v>
      </c>
      <c r="C862" s="18" t="s">
        <v>19</v>
      </c>
      <c r="D862" s="18">
        <v>2</v>
      </c>
      <c r="E862" s="18" t="s">
        <v>21</v>
      </c>
      <c r="F862" s="18" t="s">
        <v>26</v>
      </c>
      <c r="G862" s="18" t="s">
        <v>10</v>
      </c>
      <c r="H862" s="18">
        <v>5804</v>
      </c>
      <c r="I862" s="22" t="s">
        <v>42</v>
      </c>
      <c r="J862" s="18">
        <v>24</v>
      </c>
      <c r="K862" s="18" t="s">
        <v>14</v>
      </c>
      <c r="L862" s="18">
        <v>1</v>
      </c>
      <c r="M862" s="22" t="s">
        <v>34</v>
      </c>
    </row>
    <row r="863" spans="1:13" x14ac:dyDescent="0.35">
      <c r="A863" s="18">
        <v>28</v>
      </c>
      <c r="B863" s="22" t="s">
        <v>38</v>
      </c>
      <c r="C863" s="18" t="s">
        <v>19</v>
      </c>
      <c r="D863" s="18">
        <v>2</v>
      </c>
      <c r="E863" s="18" t="s">
        <v>21</v>
      </c>
      <c r="F863" s="18" t="s">
        <v>24</v>
      </c>
      <c r="G863" s="18" t="s">
        <v>10</v>
      </c>
      <c r="H863" s="18">
        <v>2169</v>
      </c>
      <c r="I863" s="22" t="s">
        <v>43</v>
      </c>
      <c r="J863" s="18">
        <v>18</v>
      </c>
      <c r="K863" s="18" t="s">
        <v>15</v>
      </c>
      <c r="L863" s="18">
        <v>2</v>
      </c>
      <c r="M863" s="22" t="s">
        <v>45</v>
      </c>
    </row>
    <row r="864" spans="1:13" x14ac:dyDescent="0.35">
      <c r="A864" s="18">
        <v>35</v>
      </c>
      <c r="B864" s="22" t="s">
        <v>39</v>
      </c>
      <c r="C864" s="18" t="s">
        <v>20</v>
      </c>
      <c r="D864" s="18">
        <v>2</v>
      </c>
      <c r="E864" s="18" t="s">
        <v>21</v>
      </c>
      <c r="F864" s="18" t="s">
        <v>24</v>
      </c>
      <c r="G864" s="18" t="s">
        <v>24</v>
      </c>
      <c r="H864" s="18">
        <v>2439</v>
      </c>
      <c r="I864" s="22" t="s">
        <v>43</v>
      </c>
      <c r="J864" s="18">
        <v>24</v>
      </c>
      <c r="K864" s="18" t="s">
        <v>11</v>
      </c>
      <c r="L864" s="18">
        <v>2</v>
      </c>
      <c r="M864" s="22" t="s">
        <v>45</v>
      </c>
    </row>
    <row r="865" spans="1:13" x14ac:dyDescent="0.35">
      <c r="A865" s="18">
        <v>32</v>
      </c>
      <c r="B865" s="22" t="s">
        <v>39</v>
      </c>
      <c r="C865" s="18" t="s">
        <v>19</v>
      </c>
      <c r="D865" s="18">
        <v>1</v>
      </c>
      <c r="E865" s="18" t="s">
        <v>21</v>
      </c>
      <c r="F865" s="18" t="s">
        <v>26</v>
      </c>
      <c r="G865" s="18" t="s">
        <v>10</v>
      </c>
      <c r="H865" s="18">
        <v>4526</v>
      </c>
      <c r="I865" s="22" t="s">
        <v>43</v>
      </c>
      <c r="J865" s="18">
        <v>27</v>
      </c>
      <c r="K865" s="18" t="s">
        <v>13</v>
      </c>
      <c r="L865" s="18">
        <v>1</v>
      </c>
      <c r="M865" s="22" t="s">
        <v>34</v>
      </c>
    </row>
    <row r="866" spans="1:13" x14ac:dyDescent="0.35">
      <c r="A866" s="18">
        <v>25</v>
      </c>
      <c r="B866" s="22" t="s">
        <v>38</v>
      </c>
      <c r="C866" s="18" t="s">
        <v>19</v>
      </c>
      <c r="D866" s="18">
        <v>1</v>
      </c>
      <c r="E866" s="18" t="s">
        <v>23</v>
      </c>
      <c r="F866" s="18" t="s">
        <v>24</v>
      </c>
      <c r="G866" s="18" t="s">
        <v>10</v>
      </c>
      <c r="H866" s="18">
        <v>2210</v>
      </c>
      <c r="I866" s="22" t="s">
        <v>43</v>
      </c>
      <c r="J866" s="18">
        <v>10</v>
      </c>
      <c r="K866" s="18" t="s">
        <v>13</v>
      </c>
      <c r="L866" s="18">
        <v>2</v>
      </c>
      <c r="M866" s="22" t="s">
        <v>45</v>
      </c>
    </row>
    <row r="867" spans="1:13" x14ac:dyDescent="0.35">
      <c r="A867" s="18">
        <v>20</v>
      </c>
      <c r="B867" s="22" t="s">
        <v>38</v>
      </c>
      <c r="C867" s="18" t="s">
        <v>20</v>
      </c>
      <c r="D867" s="18">
        <v>2</v>
      </c>
      <c r="E867" s="18" t="s">
        <v>23</v>
      </c>
      <c r="F867" s="18" t="s">
        <v>25</v>
      </c>
      <c r="G867" s="18" t="s">
        <v>10</v>
      </c>
      <c r="H867" s="18">
        <v>2221</v>
      </c>
      <c r="I867" s="22" t="s">
        <v>43</v>
      </c>
      <c r="J867" s="18">
        <v>15</v>
      </c>
      <c r="K867" s="18" t="s">
        <v>13</v>
      </c>
      <c r="L867" s="18">
        <v>1</v>
      </c>
      <c r="M867" s="22" t="s">
        <v>34</v>
      </c>
    </row>
    <row r="868" spans="1:13" x14ac:dyDescent="0.35">
      <c r="A868" s="18">
        <v>27</v>
      </c>
      <c r="B868" s="22" t="s">
        <v>38</v>
      </c>
      <c r="C868" s="18" t="s">
        <v>20</v>
      </c>
      <c r="D868" s="18">
        <v>2</v>
      </c>
      <c r="E868" s="18" t="s">
        <v>21</v>
      </c>
      <c r="F868" s="18" t="s">
        <v>24</v>
      </c>
      <c r="G868" s="18" t="s">
        <v>24</v>
      </c>
      <c r="H868" s="18">
        <v>2389</v>
      </c>
      <c r="I868" s="22" t="s">
        <v>43</v>
      </c>
      <c r="J868" s="18">
        <v>18</v>
      </c>
      <c r="K868" s="18" t="s">
        <v>11</v>
      </c>
      <c r="L868" s="18">
        <v>1</v>
      </c>
      <c r="M868" s="22" t="s">
        <v>34</v>
      </c>
    </row>
    <row r="869" spans="1:13" x14ac:dyDescent="0.35">
      <c r="A869" s="18">
        <v>42</v>
      </c>
      <c r="B869" s="22" t="s">
        <v>39</v>
      </c>
      <c r="C869" s="18" t="s">
        <v>19</v>
      </c>
      <c r="D869" s="18">
        <v>2</v>
      </c>
      <c r="E869" s="18" t="s">
        <v>21</v>
      </c>
      <c r="F869" s="18" t="s">
        <v>24</v>
      </c>
      <c r="G869" s="18" t="s">
        <v>10</v>
      </c>
      <c r="H869" s="18">
        <v>3331</v>
      </c>
      <c r="I869" s="22" t="s">
        <v>43</v>
      </c>
      <c r="J869" s="18">
        <v>12</v>
      </c>
      <c r="K869" s="18" t="s">
        <v>13</v>
      </c>
      <c r="L869" s="18">
        <v>1</v>
      </c>
      <c r="M869" s="22" t="s">
        <v>34</v>
      </c>
    </row>
    <row r="870" spans="1:13" x14ac:dyDescent="0.35">
      <c r="A870" s="18">
        <v>37</v>
      </c>
      <c r="B870" s="22" t="s">
        <v>39</v>
      </c>
      <c r="C870" s="18" t="s">
        <v>19</v>
      </c>
      <c r="D870" s="18">
        <v>2</v>
      </c>
      <c r="E870" s="18" t="s">
        <v>21</v>
      </c>
      <c r="F870" s="18" t="s">
        <v>10</v>
      </c>
      <c r="G870" s="18" t="s">
        <v>10</v>
      </c>
      <c r="H870" s="18">
        <v>7409</v>
      </c>
      <c r="I870" s="22" t="s">
        <v>42</v>
      </c>
      <c r="J870" s="18">
        <v>36</v>
      </c>
      <c r="K870" s="18" t="s">
        <v>15</v>
      </c>
      <c r="L870" s="18">
        <v>1</v>
      </c>
      <c r="M870" s="22" t="s">
        <v>34</v>
      </c>
    </row>
    <row r="871" spans="1:13" x14ac:dyDescent="0.35">
      <c r="A871" s="18">
        <v>24</v>
      </c>
      <c r="B871" s="22" t="s">
        <v>38</v>
      </c>
      <c r="C871" s="18" t="s">
        <v>20</v>
      </c>
      <c r="D871" s="18">
        <v>2</v>
      </c>
      <c r="E871" s="18" t="s">
        <v>23</v>
      </c>
      <c r="F871" s="18" t="s">
        <v>24</v>
      </c>
      <c r="G871" s="18" t="s">
        <v>24</v>
      </c>
      <c r="H871" s="18">
        <v>652</v>
      </c>
      <c r="I871" s="22" t="s">
        <v>46</v>
      </c>
      <c r="J871" s="18">
        <v>12</v>
      </c>
      <c r="K871" s="18" t="s">
        <v>13</v>
      </c>
      <c r="L871" s="18">
        <v>1</v>
      </c>
      <c r="M871" s="22" t="s">
        <v>34</v>
      </c>
    </row>
    <row r="872" spans="1:13" x14ac:dyDescent="0.35">
      <c r="A872" s="18">
        <v>40</v>
      </c>
      <c r="B872" s="22" t="s">
        <v>39</v>
      </c>
      <c r="C872" s="18" t="s">
        <v>20</v>
      </c>
      <c r="D872" s="18">
        <v>2</v>
      </c>
      <c r="E872" s="18" t="s">
        <v>21</v>
      </c>
      <c r="F872" s="18" t="s">
        <v>25</v>
      </c>
      <c r="G872" s="18" t="s">
        <v>10</v>
      </c>
      <c r="H872" s="18">
        <v>7678</v>
      </c>
      <c r="I872" s="22" t="s">
        <v>42</v>
      </c>
      <c r="J872" s="18">
        <v>36</v>
      </c>
      <c r="K872" s="18" t="s">
        <v>13</v>
      </c>
      <c r="L872" s="18">
        <v>1</v>
      </c>
      <c r="M872" s="22" t="s">
        <v>34</v>
      </c>
    </row>
    <row r="873" spans="1:13" x14ac:dyDescent="0.35">
      <c r="A873" s="18">
        <v>46</v>
      </c>
      <c r="B873" s="22" t="s">
        <v>39</v>
      </c>
      <c r="C873" s="18" t="s">
        <v>19</v>
      </c>
      <c r="D873" s="18">
        <v>2</v>
      </c>
      <c r="E873" s="18" t="s">
        <v>21</v>
      </c>
      <c r="F873" s="18" t="s">
        <v>24</v>
      </c>
      <c r="G873" s="18" t="s">
        <v>26</v>
      </c>
      <c r="H873" s="18">
        <v>1343</v>
      </c>
      <c r="I873" s="22" t="s">
        <v>46</v>
      </c>
      <c r="J873" s="18">
        <v>6</v>
      </c>
      <c r="K873" s="18" t="s">
        <v>14</v>
      </c>
      <c r="L873" s="18">
        <v>1</v>
      </c>
      <c r="M873" s="22" t="s">
        <v>34</v>
      </c>
    </row>
    <row r="874" spans="1:13" x14ac:dyDescent="0.35">
      <c r="A874" s="18">
        <v>26</v>
      </c>
      <c r="B874" s="22" t="s">
        <v>38</v>
      </c>
      <c r="C874" s="18" t="s">
        <v>19</v>
      </c>
      <c r="D874" s="18">
        <v>2</v>
      </c>
      <c r="E874" s="18" t="s">
        <v>21</v>
      </c>
      <c r="F874" s="18" t="s">
        <v>27</v>
      </c>
      <c r="G874" s="18" t="s">
        <v>24</v>
      </c>
      <c r="H874" s="18">
        <v>1382</v>
      </c>
      <c r="I874" s="22" t="s">
        <v>46</v>
      </c>
      <c r="J874" s="18">
        <v>24</v>
      </c>
      <c r="K874" s="18" t="s">
        <v>15</v>
      </c>
      <c r="L874" s="18">
        <v>1</v>
      </c>
      <c r="M874" s="22" t="s">
        <v>34</v>
      </c>
    </row>
    <row r="875" spans="1:13" x14ac:dyDescent="0.35">
      <c r="A875" s="18">
        <v>24</v>
      </c>
      <c r="B875" s="22" t="s">
        <v>38</v>
      </c>
      <c r="C875" s="18" t="s">
        <v>20</v>
      </c>
      <c r="D875" s="18">
        <v>2</v>
      </c>
      <c r="E875" s="18" t="s">
        <v>21</v>
      </c>
      <c r="F875" s="18" t="s">
        <v>10</v>
      </c>
      <c r="G875" s="18" t="s">
        <v>10</v>
      </c>
      <c r="H875" s="18">
        <v>874</v>
      </c>
      <c r="I875" s="22" t="s">
        <v>46</v>
      </c>
      <c r="J875" s="18">
        <v>15</v>
      </c>
      <c r="K875" s="18" t="s">
        <v>16</v>
      </c>
      <c r="L875" s="18">
        <v>1</v>
      </c>
      <c r="M875" s="22" t="s">
        <v>34</v>
      </c>
    </row>
    <row r="876" spans="1:13" x14ac:dyDescent="0.35">
      <c r="A876" s="18">
        <v>29</v>
      </c>
      <c r="B876" s="22" t="s">
        <v>38</v>
      </c>
      <c r="C876" s="18" t="s">
        <v>19</v>
      </c>
      <c r="D876" s="18">
        <v>1</v>
      </c>
      <c r="E876" s="18" t="s">
        <v>21</v>
      </c>
      <c r="F876" s="18" t="s">
        <v>24</v>
      </c>
      <c r="G876" s="18" t="s">
        <v>24</v>
      </c>
      <c r="H876" s="18">
        <v>3590</v>
      </c>
      <c r="I876" s="22" t="s">
        <v>43</v>
      </c>
      <c r="J876" s="18">
        <v>12</v>
      </c>
      <c r="K876" s="18" t="s">
        <v>13</v>
      </c>
      <c r="L876" s="18">
        <v>1</v>
      </c>
      <c r="M876" s="22" t="s">
        <v>34</v>
      </c>
    </row>
    <row r="877" spans="1:13" x14ac:dyDescent="0.35">
      <c r="A877" s="18">
        <v>40</v>
      </c>
      <c r="B877" s="22" t="s">
        <v>39</v>
      </c>
      <c r="C877" s="18" t="s">
        <v>20</v>
      </c>
      <c r="D877" s="18">
        <v>2</v>
      </c>
      <c r="E877" s="18" t="s">
        <v>21</v>
      </c>
      <c r="F877" s="18" t="s">
        <v>26</v>
      </c>
      <c r="G877" s="18" t="s">
        <v>27</v>
      </c>
      <c r="H877" s="18">
        <v>1322</v>
      </c>
      <c r="I877" s="22" t="s">
        <v>46</v>
      </c>
      <c r="J877" s="18">
        <v>11</v>
      </c>
      <c r="K877" s="18" t="s">
        <v>14</v>
      </c>
      <c r="L877" s="18">
        <v>1</v>
      </c>
      <c r="M877" s="22" t="s">
        <v>34</v>
      </c>
    </row>
    <row r="878" spans="1:13" x14ac:dyDescent="0.35">
      <c r="A878" s="18">
        <v>36</v>
      </c>
      <c r="B878" s="22" t="s">
        <v>39</v>
      </c>
      <c r="C878" s="18" t="s">
        <v>19</v>
      </c>
      <c r="D878" s="18">
        <v>3</v>
      </c>
      <c r="E878" s="18" t="s">
        <v>22</v>
      </c>
      <c r="F878" s="18" t="s">
        <v>24</v>
      </c>
      <c r="G878" s="18" t="s">
        <v>24</v>
      </c>
      <c r="H878" s="18">
        <v>1940</v>
      </c>
      <c r="I878" s="22" t="s">
        <v>46</v>
      </c>
      <c r="J878" s="18">
        <v>18</v>
      </c>
      <c r="K878" s="18" t="s">
        <v>11</v>
      </c>
      <c r="L878" s="18">
        <v>1</v>
      </c>
      <c r="M878" s="22" t="s">
        <v>34</v>
      </c>
    </row>
    <row r="879" spans="1:13" x14ac:dyDescent="0.35">
      <c r="A879" s="18">
        <v>28</v>
      </c>
      <c r="B879" s="22" t="s">
        <v>38</v>
      </c>
      <c r="C879" s="18" t="s">
        <v>19</v>
      </c>
      <c r="D879" s="18">
        <v>2</v>
      </c>
      <c r="E879" s="18" t="s">
        <v>21</v>
      </c>
      <c r="F879" s="18" t="s">
        <v>24</v>
      </c>
      <c r="G879" s="18" t="s">
        <v>10</v>
      </c>
      <c r="H879" s="18">
        <v>3595</v>
      </c>
      <c r="I879" s="22" t="s">
        <v>43</v>
      </c>
      <c r="J879" s="18">
        <v>36</v>
      </c>
      <c r="K879" s="18" t="s">
        <v>11</v>
      </c>
      <c r="L879" s="18">
        <v>1</v>
      </c>
      <c r="M879" s="22" t="s">
        <v>34</v>
      </c>
    </row>
    <row r="880" spans="1:13" x14ac:dyDescent="0.35">
      <c r="A880" s="18">
        <v>27</v>
      </c>
      <c r="B880" s="22" t="s">
        <v>38</v>
      </c>
      <c r="C880" s="18" t="s">
        <v>19</v>
      </c>
      <c r="D880" s="18">
        <v>3</v>
      </c>
      <c r="E880" s="18" t="s">
        <v>22</v>
      </c>
      <c r="F880" s="18" t="s">
        <v>24</v>
      </c>
      <c r="G880" s="18" t="s">
        <v>24</v>
      </c>
      <c r="H880" s="18">
        <v>1422</v>
      </c>
      <c r="I880" s="22" t="s">
        <v>46</v>
      </c>
      <c r="J880" s="18">
        <v>9</v>
      </c>
      <c r="K880" s="18" t="s">
        <v>14</v>
      </c>
      <c r="L880" s="18">
        <v>2</v>
      </c>
      <c r="M880" s="22" t="s">
        <v>45</v>
      </c>
    </row>
    <row r="881" spans="1:13" x14ac:dyDescent="0.35">
      <c r="A881" s="18">
        <v>36</v>
      </c>
      <c r="B881" s="22" t="s">
        <v>39</v>
      </c>
      <c r="C881" s="18" t="s">
        <v>19</v>
      </c>
      <c r="D881" s="18">
        <v>2</v>
      </c>
      <c r="E881" s="18" t="s">
        <v>21</v>
      </c>
      <c r="F881" s="18" t="s">
        <v>10</v>
      </c>
      <c r="G881" s="18" t="s">
        <v>10</v>
      </c>
      <c r="H881" s="18">
        <v>6742</v>
      </c>
      <c r="I881" s="22" t="s">
        <v>42</v>
      </c>
      <c r="J881" s="18">
        <v>30</v>
      </c>
      <c r="K881" s="18" t="s">
        <v>11</v>
      </c>
      <c r="L881" s="18">
        <v>1</v>
      </c>
      <c r="M881" s="22" t="s">
        <v>34</v>
      </c>
    </row>
    <row r="882" spans="1:13" x14ac:dyDescent="0.35">
      <c r="A882" s="18">
        <v>38</v>
      </c>
      <c r="B882" s="22" t="s">
        <v>39</v>
      </c>
      <c r="C882" s="18" t="s">
        <v>19</v>
      </c>
      <c r="D882" s="18">
        <v>3</v>
      </c>
      <c r="E882" s="18" t="s">
        <v>21</v>
      </c>
      <c r="F882" s="18" t="s">
        <v>24</v>
      </c>
      <c r="G882" s="18" t="s">
        <v>10</v>
      </c>
      <c r="H882" s="18">
        <v>7814</v>
      </c>
      <c r="I882" s="22" t="s">
        <v>42</v>
      </c>
      <c r="J882" s="18">
        <v>24</v>
      </c>
      <c r="K882" s="18" t="s">
        <v>14</v>
      </c>
      <c r="L882" s="18">
        <v>1</v>
      </c>
      <c r="M882" s="22" t="s">
        <v>34</v>
      </c>
    </row>
    <row r="883" spans="1:13" x14ac:dyDescent="0.35">
      <c r="A883" s="18">
        <v>48</v>
      </c>
      <c r="B883" s="22" t="s">
        <v>39</v>
      </c>
      <c r="C883" s="18" t="s">
        <v>19</v>
      </c>
      <c r="D883" s="18">
        <v>2</v>
      </c>
      <c r="E883" s="18" t="s">
        <v>22</v>
      </c>
      <c r="F883" s="18" t="s">
        <v>10</v>
      </c>
      <c r="G883" s="18" t="s">
        <v>10</v>
      </c>
      <c r="H883" s="18">
        <v>9277</v>
      </c>
      <c r="I883" s="22" t="s">
        <v>42</v>
      </c>
      <c r="J883" s="18">
        <v>24</v>
      </c>
      <c r="K883" s="18" t="s">
        <v>14</v>
      </c>
      <c r="L883" s="18">
        <v>1</v>
      </c>
      <c r="M883" s="22" t="s">
        <v>34</v>
      </c>
    </row>
    <row r="884" spans="1:13" x14ac:dyDescent="0.35">
      <c r="A884" s="18">
        <v>36</v>
      </c>
      <c r="B884" s="22" t="s">
        <v>39</v>
      </c>
      <c r="C884" s="18" t="s">
        <v>19</v>
      </c>
      <c r="D884" s="18">
        <v>2</v>
      </c>
      <c r="E884" s="18" t="s">
        <v>21</v>
      </c>
      <c r="F884" s="18" t="s">
        <v>10</v>
      </c>
      <c r="G884" s="18" t="s">
        <v>27</v>
      </c>
      <c r="H884" s="18">
        <v>2181</v>
      </c>
      <c r="I884" s="22" t="s">
        <v>43</v>
      </c>
      <c r="J884" s="18">
        <v>30</v>
      </c>
      <c r="K884" s="18" t="s">
        <v>14</v>
      </c>
      <c r="L884" s="18">
        <v>1</v>
      </c>
      <c r="M884" s="22" t="s">
        <v>34</v>
      </c>
    </row>
    <row r="885" spans="1:13" x14ac:dyDescent="0.35">
      <c r="A885" s="18">
        <v>65</v>
      </c>
      <c r="B885" s="22" t="s">
        <v>37</v>
      </c>
      <c r="C885" s="18" t="s">
        <v>20</v>
      </c>
      <c r="D885" s="18">
        <v>0</v>
      </c>
      <c r="E885" s="18" t="s">
        <v>21</v>
      </c>
      <c r="F885" s="18" t="s">
        <v>24</v>
      </c>
      <c r="G885" s="18" t="s">
        <v>10</v>
      </c>
      <c r="H885" s="18">
        <v>1098</v>
      </c>
      <c r="I885" s="22" t="s">
        <v>46</v>
      </c>
      <c r="J885" s="18">
        <v>18</v>
      </c>
      <c r="K885" s="18" t="s">
        <v>11</v>
      </c>
      <c r="L885" s="18">
        <v>1</v>
      </c>
      <c r="M885" s="22" t="s">
        <v>34</v>
      </c>
    </row>
    <row r="886" spans="1:13" x14ac:dyDescent="0.35">
      <c r="A886" s="18">
        <v>43</v>
      </c>
      <c r="B886" s="22" t="s">
        <v>39</v>
      </c>
      <c r="C886" s="18" t="s">
        <v>19</v>
      </c>
      <c r="D886" s="18">
        <v>2</v>
      </c>
      <c r="E886" s="18" t="s">
        <v>21</v>
      </c>
      <c r="F886" s="18" t="s">
        <v>24</v>
      </c>
      <c r="G886" s="18" t="s">
        <v>27</v>
      </c>
      <c r="H886" s="18">
        <v>4057</v>
      </c>
      <c r="I886" s="22" t="s">
        <v>43</v>
      </c>
      <c r="J886" s="18">
        <v>24</v>
      </c>
      <c r="K886" s="18" t="s">
        <v>13</v>
      </c>
      <c r="L886" s="18">
        <v>2</v>
      </c>
      <c r="M886" s="22" t="s">
        <v>45</v>
      </c>
    </row>
    <row r="887" spans="1:13" x14ac:dyDescent="0.35">
      <c r="A887" s="18">
        <v>53</v>
      </c>
      <c r="B887" s="22" t="s">
        <v>37</v>
      </c>
      <c r="C887" s="18" t="s">
        <v>20</v>
      </c>
      <c r="D887" s="18">
        <v>2</v>
      </c>
      <c r="E887" s="18" t="s">
        <v>21</v>
      </c>
      <c r="F887" s="18" t="s">
        <v>24</v>
      </c>
      <c r="G887" s="18" t="s">
        <v>24</v>
      </c>
      <c r="H887" s="18">
        <v>795</v>
      </c>
      <c r="I887" s="22" t="s">
        <v>46</v>
      </c>
      <c r="J887" s="18">
        <v>12</v>
      </c>
      <c r="K887" s="18" t="s">
        <v>12</v>
      </c>
      <c r="L887" s="18">
        <v>2</v>
      </c>
      <c r="M887" s="22" t="s">
        <v>45</v>
      </c>
    </row>
    <row r="888" spans="1:13" x14ac:dyDescent="0.35">
      <c r="A888" s="18">
        <v>34</v>
      </c>
      <c r="B888" s="22" t="s">
        <v>39</v>
      </c>
      <c r="C888" s="18" t="s">
        <v>19</v>
      </c>
      <c r="D888" s="18">
        <v>2</v>
      </c>
      <c r="E888" s="18" t="s">
        <v>21</v>
      </c>
      <c r="F888" s="18" t="s">
        <v>10</v>
      </c>
      <c r="G888" s="18" t="s">
        <v>27</v>
      </c>
      <c r="H888" s="18">
        <v>2825</v>
      </c>
      <c r="I888" s="22" t="s">
        <v>43</v>
      </c>
      <c r="J888" s="18">
        <v>24</v>
      </c>
      <c r="K888" s="18" t="s">
        <v>15</v>
      </c>
      <c r="L888" s="18">
        <v>1</v>
      </c>
      <c r="M888" s="22" t="s">
        <v>34</v>
      </c>
    </row>
    <row r="889" spans="1:13" x14ac:dyDescent="0.35">
      <c r="A889" s="18">
        <v>23</v>
      </c>
      <c r="B889" s="22" t="s">
        <v>38</v>
      </c>
      <c r="C889" s="18" t="s">
        <v>19</v>
      </c>
      <c r="D889" s="18">
        <v>2</v>
      </c>
      <c r="E889" s="18" t="s">
        <v>21</v>
      </c>
      <c r="F889" s="18" t="s">
        <v>24</v>
      </c>
      <c r="G889" s="18" t="s">
        <v>27</v>
      </c>
      <c r="H889" s="18">
        <v>15672</v>
      </c>
      <c r="I889" s="22" t="s">
        <v>42</v>
      </c>
      <c r="J889" s="18">
        <v>48</v>
      </c>
      <c r="K889" s="18" t="s">
        <v>15</v>
      </c>
      <c r="L889" s="18">
        <v>2</v>
      </c>
      <c r="M889" s="22" t="s">
        <v>45</v>
      </c>
    </row>
    <row r="890" spans="1:13" x14ac:dyDescent="0.35">
      <c r="A890" s="18">
        <v>34</v>
      </c>
      <c r="B890" s="22" t="s">
        <v>39</v>
      </c>
      <c r="C890" s="18" t="s">
        <v>19</v>
      </c>
      <c r="D890" s="18">
        <v>3</v>
      </c>
      <c r="E890" s="18" t="s">
        <v>21</v>
      </c>
      <c r="F890" s="18" t="s">
        <v>24</v>
      </c>
      <c r="G890" s="18" t="s">
        <v>10</v>
      </c>
      <c r="H890" s="18">
        <v>6614</v>
      </c>
      <c r="I890" s="22" t="s">
        <v>42</v>
      </c>
      <c r="J890" s="18">
        <v>36</v>
      </c>
      <c r="K890" s="18" t="s">
        <v>14</v>
      </c>
      <c r="L890" s="18">
        <v>1</v>
      </c>
      <c r="M890" s="22" t="s">
        <v>34</v>
      </c>
    </row>
    <row r="891" spans="1:13" x14ac:dyDescent="0.35">
      <c r="A891" s="18">
        <v>40</v>
      </c>
      <c r="B891" s="22" t="s">
        <v>39</v>
      </c>
      <c r="C891" s="18" t="s">
        <v>19</v>
      </c>
      <c r="D891" s="18">
        <v>2</v>
      </c>
      <c r="E891" s="18" t="s">
        <v>23</v>
      </c>
      <c r="F891" s="18" t="s">
        <v>10</v>
      </c>
      <c r="G891" s="18" t="s">
        <v>10</v>
      </c>
      <c r="H891" s="18">
        <v>7824</v>
      </c>
      <c r="I891" s="22" t="s">
        <v>42</v>
      </c>
      <c r="J891" s="18">
        <v>28</v>
      </c>
      <c r="K891" s="18" t="s">
        <v>14</v>
      </c>
      <c r="L891" s="18">
        <v>1</v>
      </c>
      <c r="M891" s="22" t="s">
        <v>34</v>
      </c>
    </row>
    <row r="892" spans="1:13" x14ac:dyDescent="0.35">
      <c r="A892" s="18">
        <v>43</v>
      </c>
      <c r="B892" s="22" t="s">
        <v>39</v>
      </c>
      <c r="C892" s="18" t="s">
        <v>19</v>
      </c>
      <c r="D892" s="18">
        <v>3</v>
      </c>
      <c r="E892" s="18" t="s">
        <v>21</v>
      </c>
      <c r="F892" s="18" t="s">
        <v>24</v>
      </c>
      <c r="G892" s="18" t="s">
        <v>24</v>
      </c>
      <c r="H892" s="18">
        <v>2442</v>
      </c>
      <c r="I892" s="22" t="s">
        <v>43</v>
      </c>
      <c r="J892" s="18">
        <v>27</v>
      </c>
      <c r="K892" s="18" t="s">
        <v>15</v>
      </c>
      <c r="L892" s="18">
        <v>1</v>
      </c>
      <c r="M892" s="22" t="s">
        <v>34</v>
      </c>
    </row>
    <row r="893" spans="1:13" x14ac:dyDescent="0.35">
      <c r="A893" s="18">
        <v>46</v>
      </c>
      <c r="B893" s="22" t="s">
        <v>39</v>
      </c>
      <c r="C893" s="18" t="s">
        <v>19</v>
      </c>
      <c r="D893" s="18">
        <v>2</v>
      </c>
      <c r="E893" s="18" t="s">
        <v>21</v>
      </c>
      <c r="F893" s="18" t="s">
        <v>24</v>
      </c>
      <c r="G893" s="18" t="s">
        <v>10</v>
      </c>
      <c r="H893" s="18">
        <v>1829</v>
      </c>
      <c r="I893" s="22" t="s">
        <v>46</v>
      </c>
      <c r="J893" s="18">
        <v>15</v>
      </c>
      <c r="K893" s="18" t="s">
        <v>11</v>
      </c>
      <c r="L893" s="18">
        <v>1</v>
      </c>
      <c r="M893" s="22" t="s">
        <v>34</v>
      </c>
    </row>
    <row r="894" spans="1:13" x14ac:dyDescent="0.35">
      <c r="A894" s="18">
        <v>38</v>
      </c>
      <c r="B894" s="22" t="s">
        <v>39</v>
      </c>
      <c r="C894" s="18" t="s">
        <v>19</v>
      </c>
      <c r="D894" s="18">
        <v>1</v>
      </c>
      <c r="E894" s="18" t="s">
        <v>21</v>
      </c>
      <c r="F894" s="18" t="s">
        <v>24</v>
      </c>
      <c r="G894" s="18" t="s">
        <v>24</v>
      </c>
      <c r="H894" s="18">
        <v>2171</v>
      </c>
      <c r="I894" s="22" t="s">
        <v>43</v>
      </c>
      <c r="J894" s="18">
        <v>12</v>
      </c>
      <c r="K894" s="18" t="s">
        <v>14</v>
      </c>
      <c r="L894" s="18">
        <v>1</v>
      </c>
      <c r="M894" s="22" t="s">
        <v>34</v>
      </c>
    </row>
    <row r="895" spans="1:13" x14ac:dyDescent="0.35">
      <c r="A895" s="18">
        <v>34</v>
      </c>
      <c r="B895" s="22" t="s">
        <v>39</v>
      </c>
      <c r="C895" s="18" t="s">
        <v>19</v>
      </c>
      <c r="D895" s="18">
        <v>2</v>
      </c>
      <c r="E895" s="18" t="s">
        <v>21</v>
      </c>
      <c r="F895" s="18" t="s">
        <v>24</v>
      </c>
      <c r="G895" s="18" t="s">
        <v>27</v>
      </c>
      <c r="H895" s="18">
        <v>5800</v>
      </c>
      <c r="I895" s="22" t="s">
        <v>42</v>
      </c>
      <c r="J895" s="18">
        <v>36</v>
      </c>
      <c r="K895" s="18" t="s">
        <v>14</v>
      </c>
      <c r="L895" s="18">
        <v>1</v>
      </c>
      <c r="M895" s="22" t="s">
        <v>34</v>
      </c>
    </row>
    <row r="896" spans="1:13" x14ac:dyDescent="0.35">
      <c r="A896" s="18">
        <v>29</v>
      </c>
      <c r="B896" s="22" t="s">
        <v>38</v>
      </c>
      <c r="C896" s="18" t="s">
        <v>19</v>
      </c>
      <c r="D896" s="18">
        <v>2</v>
      </c>
      <c r="E896" s="18" t="s">
        <v>21</v>
      </c>
      <c r="F896" s="18" t="s">
        <v>10</v>
      </c>
      <c r="G896" s="18" t="s">
        <v>10</v>
      </c>
      <c r="H896" s="18">
        <v>1169</v>
      </c>
      <c r="I896" s="22" t="s">
        <v>46</v>
      </c>
      <c r="J896" s="18">
        <v>18</v>
      </c>
      <c r="K896" s="18" t="s">
        <v>11</v>
      </c>
      <c r="L896" s="18">
        <v>1</v>
      </c>
      <c r="M896" s="22" t="s">
        <v>34</v>
      </c>
    </row>
    <row r="897" spans="1:13" x14ac:dyDescent="0.35">
      <c r="A897" s="18">
        <v>31</v>
      </c>
      <c r="B897" s="22" t="s">
        <v>39</v>
      </c>
      <c r="C897" s="18" t="s">
        <v>19</v>
      </c>
      <c r="D897" s="18">
        <v>3</v>
      </c>
      <c r="E897" s="18" t="s">
        <v>21</v>
      </c>
      <c r="F897" s="18" t="s">
        <v>10</v>
      </c>
      <c r="G897" s="18" t="s">
        <v>10</v>
      </c>
      <c r="H897" s="18">
        <v>8947</v>
      </c>
      <c r="I897" s="22" t="s">
        <v>42</v>
      </c>
      <c r="J897" s="18">
        <v>36</v>
      </c>
      <c r="K897" s="18" t="s">
        <v>14</v>
      </c>
      <c r="L897" s="18">
        <v>1</v>
      </c>
      <c r="M897" s="22" t="s">
        <v>34</v>
      </c>
    </row>
    <row r="898" spans="1:13" x14ac:dyDescent="0.35">
      <c r="A898" s="18">
        <v>28</v>
      </c>
      <c r="B898" s="22" t="s">
        <v>38</v>
      </c>
      <c r="C898" s="18" t="s">
        <v>20</v>
      </c>
      <c r="D898" s="18">
        <v>3</v>
      </c>
      <c r="E898" s="18" t="s">
        <v>23</v>
      </c>
      <c r="F898" s="18" t="s">
        <v>24</v>
      </c>
      <c r="G898" s="18" t="s">
        <v>24</v>
      </c>
      <c r="H898" s="18">
        <v>2606</v>
      </c>
      <c r="I898" s="22" t="s">
        <v>43</v>
      </c>
      <c r="J898" s="18">
        <v>21</v>
      </c>
      <c r="K898" s="18" t="s">
        <v>11</v>
      </c>
      <c r="L898" s="18">
        <v>1</v>
      </c>
      <c r="M898" s="22" t="s">
        <v>34</v>
      </c>
    </row>
    <row r="899" spans="1:13" x14ac:dyDescent="0.35">
      <c r="A899" s="18">
        <v>35</v>
      </c>
      <c r="B899" s="22" t="s">
        <v>39</v>
      </c>
      <c r="C899" s="18" t="s">
        <v>20</v>
      </c>
      <c r="D899" s="18">
        <v>2</v>
      </c>
      <c r="E899" s="18" t="s">
        <v>21</v>
      </c>
      <c r="F899" s="18" t="s">
        <v>26</v>
      </c>
      <c r="G899" s="18" t="s">
        <v>10</v>
      </c>
      <c r="H899" s="18">
        <v>1592</v>
      </c>
      <c r="I899" s="22" t="s">
        <v>46</v>
      </c>
      <c r="J899" s="18">
        <v>12</v>
      </c>
      <c r="K899" s="18" t="s">
        <v>13</v>
      </c>
      <c r="L899" s="18">
        <v>1</v>
      </c>
      <c r="M899" s="22" t="s">
        <v>34</v>
      </c>
    </row>
    <row r="900" spans="1:13" x14ac:dyDescent="0.35">
      <c r="A900" s="18">
        <v>33</v>
      </c>
      <c r="B900" s="22" t="s">
        <v>39</v>
      </c>
      <c r="C900" s="18" t="s">
        <v>20</v>
      </c>
      <c r="D900" s="18">
        <v>1</v>
      </c>
      <c r="E900" s="18" t="s">
        <v>23</v>
      </c>
      <c r="F900" s="18" t="s">
        <v>10</v>
      </c>
      <c r="G900" s="18" t="s">
        <v>10</v>
      </c>
      <c r="H900" s="18">
        <v>2186</v>
      </c>
      <c r="I900" s="22" t="s">
        <v>43</v>
      </c>
      <c r="J900" s="18">
        <v>15</v>
      </c>
      <c r="K900" s="18" t="s">
        <v>13</v>
      </c>
      <c r="L900" s="18">
        <v>1</v>
      </c>
      <c r="M900" s="22" t="s">
        <v>34</v>
      </c>
    </row>
    <row r="901" spans="1:13" x14ac:dyDescent="0.35">
      <c r="A901" s="18">
        <v>42</v>
      </c>
      <c r="B901" s="22" t="s">
        <v>39</v>
      </c>
      <c r="C901" s="18" t="s">
        <v>19</v>
      </c>
      <c r="D901" s="18">
        <v>2</v>
      </c>
      <c r="E901" s="18" t="s">
        <v>21</v>
      </c>
      <c r="F901" s="18" t="s">
        <v>24</v>
      </c>
      <c r="G901" s="18" t="s">
        <v>24</v>
      </c>
      <c r="H901" s="18">
        <v>4153</v>
      </c>
      <c r="I901" s="22" t="s">
        <v>43</v>
      </c>
      <c r="J901" s="18">
        <v>18</v>
      </c>
      <c r="K901" s="18" t="s">
        <v>13</v>
      </c>
      <c r="L901" s="18">
        <v>2</v>
      </c>
      <c r="M901" s="22" t="s">
        <v>45</v>
      </c>
    </row>
    <row r="902" spans="1:13" x14ac:dyDescent="0.35">
      <c r="A902" s="18">
        <v>43</v>
      </c>
      <c r="B902" s="22" t="s">
        <v>39</v>
      </c>
      <c r="C902" s="18" t="s">
        <v>19</v>
      </c>
      <c r="D902" s="18">
        <v>2</v>
      </c>
      <c r="E902" s="18" t="s">
        <v>23</v>
      </c>
      <c r="F902" s="18" t="s">
        <v>24</v>
      </c>
      <c r="G902" s="18" t="s">
        <v>24</v>
      </c>
      <c r="H902" s="18">
        <v>2625</v>
      </c>
      <c r="I902" s="22" t="s">
        <v>43</v>
      </c>
      <c r="J902" s="18">
        <v>16</v>
      </c>
      <c r="K902" s="18" t="s">
        <v>14</v>
      </c>
      <c r="L902" s="18">
        <v>2</v>
      </c>
      <c r="M902" s="22" t="s">
        <v>45</v>
      </c>
    </row>
    <row r="903" spans="1:13" x14ac:dyDescent="0.35">
      <c r="A903" s="18">
        <v>44</v>
      </c>
      <c r="B903" s="22" t="s">
        <v>39</v>
      </c>
      <c r="C903" s="18" t="s">
        <v>19</v>
      </c>
      <c r="D903" s="18">
        <v>2</v>
      </c>
      <c r="E903" s="18" t="s">
        <v>21</v>
      </c>
      <c r="F903" s="18" t="s">
        <v>10</v>
      </c>
      <c r="G903" s="18" t="s">
        <v>10</v>
      </c>
      <c r="H903" s="18">
        <v>3485</v>
      </c>
      <c r="I903" s="22" t="s">
        <v>43</v>
      </c>
      <c r="J903" s="18">
        <v>20</v>
      </c>
      <c r="K903" s="18" t="s">
        <v>14</v>
      </c>
      <c r="L903" s="18">
        <v>1</v>
      </c>
      <c r="M903" s="22" t="s">
        <v>34</v>
      </c>
    </row>
    <row r="904" spans="1:13" x14ac:dyDescent="0.35">
      <c r="A904" s="18">
        <v>42</v>
      </c>
      <c r="B904" s="22" t="s">
        <v>39</v>
      </c>
      <c r="C904" s="18" t="s">
        <v>19</v>
      </c>
      <c r="D904" s="18">
        <v>2</v>
      </c>
      <c r="E904" s="18" t="s">
        <v>22</v>
      </c>
      <c r="F904" s="18" t="s">
        <v>10</v>
      </c>
      <c r="G904" s="18" t="s">
        <v>10</v>
      </c>
      <c r="H904" s="18">
        <v>10477</v>
      </c>
      <c r="I904" s="22" t="s">
        <v>42</v>
      </c>
      <c r="J904" s="18">
        <v>36</v>
      </c>
      <c r="K904" s="18" t="s">
        <v>14</v>
      </c>
      <c r="L904" s="18">
        <v>1</v>
      </c>
      <c r="M904" s="22" t="s">
        <v>34</v>
      </c>
    </row>
    <row r="905" spans="1:13" x14ac:dyDescent="0.35">
      <c r="A905" s="18">
        <v>40</v>
      </c>
      <c r="B905" s="22" t="s">
        <v>39</v>
      </c>
      <c r="C905" s="18" t="s">
        <v>19</v>
      </c>
      <c r="D905" s="18">
        <v>2</v>
      </c>
      <c r="E905" s="18" t="s">
        <v>23</v>
      </c>
      <c r="F905" s="18" t="s">
        <v>10</v>
      </c>
      <c r="G905" s="18" t="s">
        <v>10</v>
      </c>
      <c r="H905" s="18">
        <v>1386</v>
      </c>
      <c r="I905" s="22" t="s">
        <v>46</v>
      </c>
      <c r="J905" s="18">
        <v>15</v>
      </c>
      <c r="K905" s="18" t="s">
        <v>11</v>
      </c>
      <c r="L905" s="18">
        <v>1</v>
      </c>
      <c r="M905" s="22" t="s">
        <v>34</v>
      </c>
    </row>
    <row r="906" spans="1:13" x14ac:dyDescent="0.35">
      <c r="A906" s="18">
        <v>36</v>
      </c>
      <c r="B906" s="22" t="s">
        <v>39</v>
      </c>
      <c r="C906" s="18" t="s">
        <v>19</v>
      </c>
      <c r="D906" s="18">
        <v>3</v>
      </c>
      <c r="E906" s="18" t="s">
        <v>21</v>
      </c>
      <c r="F906" s="18" t="s">
        <v>24</v>
      </c>
      <c r="G906" s="18" t="s">
        <v>10</v>
      </c>
      <c r="H906" s="18">
        <v>1278</v>
      </c>
      <c r="I906" s="22" t="s">
        <v>46</v>
      </c>
      <c r="J906" s="18">
        <v>24</v>
      </c>
      <c r="K906" s="18" t="s">
        <v>11</v>
      </c>
      <c r="L906" s="18">
        <v>1</v>
      </c>
      <c r="M906" s="22" t="s">
        <v>34</v>
      </c>
    </row>
    <row r="907" spans="1:13" x14ac:dyDescent="0.35">
      <c r="A907" s="18">
        <v>20</v>
      </c>
      <c r="B907" s="22" t="s">
        <v>38</v>
      </c>
      <c r="C907" s="18" t="s">
        <v>19</v>
      </c>
      <c r="D907" s="18">
        <v>3</v>
      </c>
      <c r="E907" s="18" t="s">
        <v>23</v>
      </c>
      <c r="F907" s="18" t="s">
        <v>24</v>
      </c>
      <c r="G907" s="18" t="s">
        <v>24</v>
      </c>
      <c r="H907" s="18">
        <v>1107</v>
      </c>
      <c r="I907" s="22" t="s">
        <v>46</v>
      </c>
      <c r="J907" s="18">
        <v>12</v>
      </c>
      <c r="K907" s="18" t="s">
        <v>11</v>
      </c>
      <c r="L907" s="18">
        <v>1</v>
      </c>
      <c r="M907" s="22" t="s">
        <v>34</v>
      </c>
    </row>
    <row r="908" spans="1:13" x14ac:dyDescent="0.35">
      <c r="A908" s="18">
        <v>24</v>
      </c>
      <c r="B908" s="22" t="s">
        <v>38</v>
      </c>
      <c r="C908" s="18" t="s">
        <v>19</v>
      </c>
      <c r="D908" s="18">
        <v>1</v>
      </c>
      <c r="E908" s="18" t="s">
        <v>21</v>
      </c>
      <c r="F908" s="18" t="s">
        <v>10</v>
      </c>
      <c r="G908" s="18" t="s">
        <v>24</v>
      </c>
      <c r="H908" s="18">
        <v>3763</v>
      </c>
      <c r="I908" s="22" t="s">
        <v>43</v>
      </c>
      <c r="J908" s="18">
        <v>21</v>
      </c>
      <c r="K908" s="18" t="s">
        <v>14</v>
      </c>
      <c r="L908" s="18">
        <v>1</v>
      </c>
      <c r="M908" s="22" t="s">
        <v>34</v>
      </c>
    </row>
    <row r="909" spans="1:13" x14ac:dyDescent="0.35">
      <c r="A909" s="18">
        <v>27</v>
      </c>
      <c r="B909" s="22" t="s">
        <v>38</v>
      </c>
      <c r="C909" s="18" t="s">
        <v>19</v>
      </c>
      <c r="D909" s="18">
        <v>2</v>
      </c>
      <c r="E909" s="18" t="s">
        <v>21</v>
      </c>
      <c r="F909" s="18" t="s">
        <v>10</v>
      </c>
      <c r="G909" s="18" t="s">
        <v>27</v>
      </c>
      <c r="H909" s="18">
        <v>3711</v>
      </c>
      <c r="I909" s="22" t="s">
        <v>43</v>
      </c>
      <c r="J909" s="18">
        <v>36</v>
      </c>
      <c r="K909" s="18" t="s">
        <v>12</v>
      </c>
      <c r="L909" s="18">
        <v>1</v>
      </c>
      <c r="M909" s="22" t="s">
        <v>34</v>
      </c>
    </row>
    <row r="910" spans="1:13" x14ac:dyDescent="0.35">
      <c r="A910" s="18">
        <v>46</v>
      </c>
      <c r="B910" s="22" t="s">
        <v>39</v>
      </c>
      <c r="C910" s="18" t="s">
        <v>20</v>
      </c>
      <c r="D910" s="18">
        <v>1</v>
      </c>
      <c r="E910" s="18" t="s">
        <v>21</v>
      </c>
      <c r="F910" s="18" t="s">
        <v>24</v>
      </c>
      <c r="G910" s="18" t="s">
        <v>10</v>
      </c>
      <c r="H910" s="18">
        <v>3594</v>
      </c>
      <c r="I910" s="22" t="s">
        <v>43</v>
      </c>
      <c r="J910" s="18">
        <v>15</v>
      </c>
      <c r="K910" s="18" t="s">
        <v>14</v>
      </c>
      <c r="L910" s="18">
        <v>1</v>
      </c>
      <c r="M910" s="22" t="s">
        <v>34</v>
      </c>
    </row>
    <row r="911" spans="1:13" x14ac:dyDescent="0.35">
      <c r="A911" s="18">
        <v>33</v>
      </c>
      <c r="B911" s="22" t="s">
        <v>39</v>
      </c>
      <c r="C911" s="18" t="s">
        <v>20</v>
      </c>
      <c r="D911" s="18">
        <v>1</v>
      </c>
      <c r="E911" s="18" t="s">
        <v>21</v>
      </c>
      <c r="F911" s="18" t="s">
        <v>10</v>
      </c>
      <c r="G911" s="18" t="s">
        <v>27</v>
      </c>
      <c r="H911" s="18">
        <v>3195</v>
      </c>
      <c r="I911" s="22" t="s">
        <v>43</v>
      </c>
      <c r="J911" s="18">
        <v>9</v>
      </c>
      <c r="K911" s="18" t="s">
        <v>14</v>
      </c>
      <c r="L911" s="18">
        <v>1</v>
      </c>
      <c r="M911" s="22" t="s">
        <v>34</v>
      </c>
    </row>
    <row r="912" spans="1:13" x14ac:dyDescent="0.35">
      <c r="A912" s="18">
        <v>34</v>
      </c>
      <c r="B912" s="22" t="s">
        <v>39</v>
      </c>
      <c r="C912" s="18" t="s">
        <v>20</v>
      </c>
      <c r="D912" s="18">
        <v>2</v>
      </c>
      <c r="E912" s="18" t="s">
        <v>21</v>
      </c>
      <c r="F912" s="18" t="s">
        <v>24</v>
      </c>
      <c r="G912" s="18" t="s">
        <v>10</v>
      </c>
      <c r="H912" s="18">
        <v>4454</v>
      </c>
      <c r="I912" s="22" t="s">
        <v>43</v>
      </c>
      <c r="J912" s="18">
        <v>36</v>
      </c>
      <c r="K912" s="18" t="s">
        <v>11</v>
      </c>
      <c r="L912" s="18">
        <v>1</v>
      </c>
      <c r="M912" s="22" t="s">
        <v>34</v>
      </c>
    </row>
    <row r="913" spans="1:13" x14ac:dyDescent="0.35">
      <c r="A913" s="18">
        <v>25</v>
      </c>
      <c r="B913" s="22" t="s">
        <v>38</v>
      </c>
      <c r="C913" s="18" t="s">
        <v>20</v>
      </c>
      <c r="D913" s="18">
        <v>1</v>
      </c>
      <c r="E913" s="18" t="s">
        <v>21</v>
      </c>
      <c r="F913" s="18" t="s">
        <v>24</v>
      </c>
      <c r="G913" s="18" t="s">
        <v>27</v>
      </c>
      <c r="H913" s="18">
        <v>4736</v>
      </c>
      <c r="I913" s="22" t="s">
        <v>43</v>
      </c>
      <c r="J913" s="18">
        <v>24</v>
      </c>
      <c r="K913" s="18" t="s">
        <v>13</v>
      </c>
      <c r="L913" s="18">
        <v>2</v>
      </c>
      <c r="M913" s="22" t="s">
        <v>45</v>
      </c>
    </row>
    <row r="914" spans="1:13" x14ac:dyDescent="0.35">
      <c r="A914" s="18">
        <v>25</v>
      </c>
      <c r="B914" s="22" t="s">
        <v>38</v>
      </c>
      <c r="C914" s="18" t="s">
        <v>20</v>
      </c>
      <c r="D914" s="18">
        <v>2</v>
      </c>
      <c r="E914" s="18" t="s">
        <v>21</v>
      </c>
      <c r="F914" s="18" t="s">
        <v>10</v>
      </c>
      <c r="G914" s="18" t="s">
        <v>27</v>
      </c>
      <c r="H914" s="18">
        <v>2991</v>
      </c>
      <c r="I914" s="22" t="s">
        <v>43</v>
      </c>
      <c r="J914" s="18">
        <v>30</v>
      </c>
      <c r="K914" s="18" t="s">
        <v>11</v>
      </c>
      <c r="L914" s="18">
        <v>1</v>
      </c>
      <c r="M914" s="22" t="s">
        <v>34</v>
      </c>
    </row>
    <row r="915" spans="1:13" x14ac:dyDescent="0.35">
      <c r="A915" s="18">
        <v>28</v>
      </c>
      <c r="B915" s="22" t="s">
        <v>38</v>
      </c>
      <c r="C915" s="18" t="s">
        <v>19</v>
      </c>
      <c r="D915" s="18">
        <v>2</v>
      </c>
      <c r="E915" s="18" t="s">
        <v>21</v>
      </c>
      <c r="F915" s="18" t="s">
        <v>26</v>
      </c>
      <c r="G915" s="18" t="s">
        <v>10</v>
      </c>
      <c r="H915" s="18">
        <v>2142</v>
      </c>
      <c r="I915" s="22" t="s">
        <v>43</v>
      </c>
      <c r="J915" s="18">
        <v>11</v>
      </c>
      <c r="K915" s="18" t="s">
        <v>15</v>
      </c>
      <c r="L915" s="18">
        <v>1</v>
      </c>
      <c r="M915" s="22" t="s">
        <v>34</v>
      </c>
    </row>
    <row r="916" spans="1:13" x14ac:dyDescent="0.35">
      <c r="A916" s="18">
        <v>31</v>
      </c>
      <c r="B916" s="22" t="s">
        <v>39</v>
      </c>
      <c r="C916" s="18" t="s">
        <v>19</v>
      </c>
      <c r="D916" s="18">
        <v>2</v>
      </c>
      <c r="E916" s="18" t="s">
        <v>23</v>
      </c>
      <c r="F916" s="18" t="s">
        <v>24</v>
      </c>
      <c r="G916" s="18" t="s">
        <v>24</v>
      </c>
      <c r="H916" s="18">
        <v>3161</v>
      </c>
      <c r="I916" s="22" t="s">
        <v>43</v>
      </c>
      <c r="J916" s="18">
        <v>24</v>
      </c>
      <c r="K916" s="18" t="s">
        <v>15</v>
      </c>
      <c r="L916" s="18">
        <v>2</v>
      </c>
      <c r="M916" s="22" t="s">
        <v>45</v>
      </c>
    </row>
    <row r="917" spans="1:13" x14ac:dyDescent="0.35">
      <c r="A917" s="18">
        <v>32</v>
      </c>
      <c r="B917" s="22" t="s">
        <v>39</v>
      </c>
      <c r="C917" s="18" t="s">
        <v>20</v>
      </c>
      <c r="D917" s="18">
        <v>3</v>
      </c>
      <c r="E917" s="18" t="s">
        <v>21</v>
      </c>
      <c r="F917" s="18" t="s">
        <v>24</v>
      </c>
      <c r="G917" s="18" t="s">
        <v>27</v>
      </c>
      <c r="H917" s="18">
        <v>18424</v>
      </c>
      <c r="I917" s="22" t="s">
        <v>42</v>
      </c>
      <c r="J917" s="18">
        <v>48</v>
      </c>
      <c r="K917" s="18" t="s">
        <v>18</v>
      </c>
      <c r="L917" s="18">
        <v>2</v>
      </c>
      <c r="M917" s="22" t="s">
        <v>45</v>
      </c>
    </row>
    <row r="918" spans="1:13" x14ac:dyDescent="0.35">
      <c r="A918" s="18">
        <v>32</v>
      </c>
      <c r="B918" s="22" t="s">
        <v>39</v>
      </c>
      <c r="C918" s="18" t="s">
        <v>19</v>
      </c>
      <c r="D918" s="18">
        <v>2</v>
      </c>
      <c r="E918" s="18" t="s">
        <v>21</v>
      </c>
      <c r="F918" s="18" t="s">
        <v>27</v>
      </c>
      <c r="G918" s="18" t="s">
        <v>10</v>
      </c>
      <c r="H918" s="18">
        <v>2848</v>
      </c>
      <c r="I918" s="22" t="s">
        <v>43</v>
      </c>
      <c r="J918" s="18">
        <v>10</v>
      </c>
      <c r="K918" s="18" t="s">
        <v>14</v>
      </c>
      <c r="L918" s="18">
        <v>1</v>
      </c>
      <c r="M918" s="22" t="s">
        <v>34</v>
      </c>
    </row>
    <row r="919" spans="1:13" x14ac:dyDescent="0.35">
      <c r="A919" s="18">
        <v>68</v>
      </c>
      <c r="B919" s="22" t="s">
        <v>37</v>
      </c>
      <c r="C919" s="18" t="s">
        <v>19</v>
      </c>
      <c r="D919" s="18">
        <v>3</v>
      </c>
      <c r="E919" s="18" t="s">
        <v>21</v>
      </c>
      <c r="F919" s="18" t="s">
        <v>24</v>
      </c>
      <c r="G919" s="18" t="s">
        <v>24</v>
      </c>
      <c r="H919" s="18">
        <v>14896</v>
      </c>
      <c r="I919" s="22" t="s">
        <v>42</v>
      </c>
      <c r="J919" s="18">
        <v>6</v>
      </c>
      <c r="K919" s="18" t="s">
        <v>14</v>
      </c>
      <c r="L919" s="18">
        <v>2</v>
      </c>
      <c r="M919" s="22" t="s">
        <v>45</v>
      </c>
    </row>
    <row r="920" spans="1:13" x14ac:dyDescent="0.35">
      <c r="A920" s="18">
        <v>33</v>
      </c>
      <c r="B920" s="22" t="s">
        <v>39</v>
      </c>
      <c r="C920" s="18" t="s">
        <v>19</v>
      </c>
      <c r="D920" s="18">
        <v>2</v>
      </c>
      <c r="E920" s="18" t="s">
        <v>21</v>
      </c>
      <c r="F920" s="18" t="s">
        <v>27</v>
      </c>
      <c r="G920" s="18" t="s">
        <v>24</v>
      </c>
      <c r="H920" s="18">
        <v>2359</v>
      </c>
      <c r="I920" s="22" t="s">
        <v>43</v>
      </c>
      <c r="J920" s="18">
        <v>24</v>
      </c>
      <c r="K920" s="18" t="s">
        <v>13</v>
      </c>
      <c r="L920" s="18">
        <v>2</v>
      </c>
      <c r="M920" s="22" t="s">
        <v>45</v>
      </c>
    </row>
    <row r="921" spans="1:13" x14ac:dyDescent="0.35">
      <c r="A921" s="18">
        <v>39</v>
      </c>
      <c r="B921" s="22" t="s">
        <v>39</v>
      </c>
      <c r="C921" s="18" t="s">
        <v>19</v>
      </c>
      <c r="D921" s="18">
        <v>3</v>
      </c>
      <c r="E921" s="18" t="s">
        <v>23</v>
      </c>
      <c r="F921" s="18" t="s">
        <v>24</v>
      </c>
      <c r="G921" s="18" t="s">
        <v>24</v>
      </c>
      <c r="H921" s="18">
        <v>3345</v>
      </c>
      <c r="I921" s="22" t="s">
        <v>43</v>
      </c>
      <c r="J921" s="18">
        <v>24</v>
      </c>
      <c r="K921" s="18" t="s">
        <v>13</v>
      </c>
      <c r="L921" s="18">
        <v>2</v>
      </c>
      <c r="M921" s="22" t="s">
        <v>45</v>
      </c>
    </row>
    <row r="922" spans="1:13" x14ac:dyDescent="0.35">
      <c r="A922" s="18">
        <v>28</v>
      </c>
      <c r="B922" s="22" t="s">
        <v>38</v>
      </c>
      <c r="C922" s="18" t="s">
        <v>20</v>
      </c>
      <c r="D922" s="18">
        <v>2</v>
      </c>
      <c r="E922" s="18" t="s">
        <v>21</v>
      </c>
      <c r="F922" s="18" t="s">
        <v>24</v>
      </c>
      <c r="G922" s="18" t="s">
        <v>10</v>
      </c>
      <c r="H922" s="18">
        <v>1817</v>
      </c>
      <c r="I922" s="22" t="s">
        <v>46</v>
      </c>
      <c r="J922" s="18">
        <v>18</v>
      </c>
      <c r="K922" s="18" t="s">
        <v>13</v>
      </c>
      <c r="L922" s="18">
        <v>1</v>
      </c>
      <c r="M922" s="22" t="s">
        <v>34</v>
      </c>
    </row>
    <row r="923" spans="1:13" x14ac:dyDescent="0.35">
      <c r="A923" s="18">
        <v>37</v>
      </c>
      <c r="B923" s="22" t="s">
        <v>39</v>
      </c>
      <c r="C923" s="18" t="s">
        <v>19</v>
      </c>
      <c r="D923" s="18">
        <v>3</v>
      </c>
      <c r="E923" s="18" t="s">
        <v>21</v>
      </c>
      <c r="F923" s="18" t="s">
        <v>25</v>
      </c>
      <c r="G923" s="18" t="s">
        <v>10</v>
      </c>
      <c r="H923" s="18">
        <v>12749</v>
      </c>
      <c r="I923" s="22" t="s">
        <v>42</v>
      </c>
      <c r="J923" s="18">
        <v>48</v>
      </c>
      <c r="K923" s="18" t="s">
        <v>11</v>
      </c>
      <c r="L923" s="18">
        <v>1</v>
      </c>
      <c r="M923" s="22" t="s">
        <v>34</v>
      </c>
    </row>
    <row r="924" spans="1:13" x14ac:dyDescent="0.35">
      <c r="A924" s="18">
        <v>22</v>
      </c>
      <c r="B924" s="22" t="s">
        <v>38</v>
      </c>
      <c r="C924" s="18" t="s">
        <v>20</v>
      </c>
      <c r="D924" s="18">
        <v>2</v>
      </c>
      <c r="E924" s="18" t="s">
        <v>23</v>
      </c>
      <c r="F924" s="18" t="s">
        <v>24</v>
      </c>
      <c r="G924" s="18" t="s">
        <v>24</v>
      </c>
      <c r="H924" s="18">
        <v>1366</v>
      </c>
      <c r="I924" s="22" t="s">
        <v>46</v>
      </c>
      <c r="J924" s="18">
        <v>9</v>
      </c>
      <c r="K924" s="18" t="s">
        <v>11</v>
      </c>
      <c r="L924" s="18">
        <v>2</v>
      </c>
      <c r="M924" s="22" t="s">
        <v>45</v>
      </c>
    </row>
    <row r="925" spans="1:13" x14ac:dyDescent="0.35">
      <c r="A925" s="18">
        <v>30</v>
      </c>
      <c r="B925" s="22" t="s">
        <v>39</v>
      </c>
      <c r="C925" s="18" t="s">
        <v>19</v>
      </c>
      <c r="D925" s="18">
        <v>2</v>
      </c>
      <c r="E925" s="18" t="s">
        <v>23</v>
      </c>
      <c r="F925" s="18" t="s">
        <v>24</v>
      </c>
      <c r="G925" s="18" t="s">
        <v>27</v>
      </c>
      <c r="H925" s="18">
        <v>2002</v>
      </c>
      <c r="I925" s="22" t="s">
        <v>43</v>
      </c>
      <c r="J925" s="18">
        <v>12</v>
      </c>
      <c r="K925" s="18" t="s">
        <v>14</v>
      </c>
      <c r="L925" s="18">
        <v>1</v>
      </c>
      <c r="M925" s="22" t="s">
        <v>34</v>
      </c>
    </row>
    <row r="926" spans="1:13" x14ac:dyDescent="0.35">
      <c r="A926" s="18">
        <v>55</v>
      </c>
      <c r="B926" s="22" t="s">
        <v>37</v>
      </c>
      <c r="C926" s="18" t="s">
        <v>19</v>
      </c>
      <c r="D926" s="18">
        <v>2</v>
      </c>
      <c r="E926" s="18" t="s">
        <v>21</v>
      </c>
      <c r="F926" s="18" t="s">
        <v>24</v>
      </c>
      <c r="G926" s="18" t="s">
        <v>24</v>
      </c>
      <c r="H926" s="18">
        <v>6872</v>
      </c>
      <c r="I926" s="22" t="s">
        <v>42</v>
      </c>
      <c r="J926" s="18">
        <v>24</v>
      </c>
      <c r="K926" s="18" t="s">
        <v>13</v>
      </c>
      <c r="L926" s="18">
        <v>2</v>
      </c>
      <c r="M926" s="22" t="s">
        <v>45</v>
      </c>
    </row>
    <row r="927" spans="1:13" x14ac:dyDescent="0.35">
      <c r="A927" s="18">
        <v>46</v>
      </c>
      <c r="B927" s="22" t="s">
        <v>39</v>
      </c>
      <c r="C927" s="18" t="s">
        <v>19</v>
      </c>
      <c r="D927" s="18">
        <v>2</v>
      </c>
      <c r="E927" s="18" t="s">
        <v>21</v>
      </c>
      <c r="F927" s="18" t="s">
        <v>24</v>
      </c>
      <c r="G927" s="18" t="s">
        <v>24</v>
      </c>
      <c r="H927" s="18">
        <v>697</v>
      </c>
      <c r="I927" s="22" t="s">
        <v>46</v>
      </c>
      <c r="J927" s="18">
        <v>12</v>
      </c>
      <c r="K927" s="18" t="s">
        <v>14</v>
      </c>
      <c r="L927" s="18">
        <v>2</v>
      </c>
      <c r="M927" s="22" t="s">
        <v>45</v>
      </c>
    </row>
    <row r="928" spans="1:13" x14ac:dyDescent="0.35">
      <c r="A928" s="18">
        <v>21</v>
      </c>
      <c r="B928" s="22" t="s">
        <v>38</v>
      </c>
      <c r="C928" s="18" t="s">
        <v>20</v>
      </c>
      <c r="D928" s="18">
        <v>2</v>
      </c>
      <c r="E928" s="18" t="s">
        <v>23</v>
      </c>
      <c r="F928" s="18" t="s">
        <v>24</v>
      </c>
      <c r="G928" s="18" t="s">
        <v>24</v>
      </c>
      <c r="H928" s="18">
        <v>1049</v>
      </c>
      <c r="I928" s="22" t="s">
        <v>46</v>
      </c>
      <c r="J928" s="18">
        <v>18</v>
      </c>
      <c r="K928" s="18" t="s">
        <v>13</v>
      </c>
      <c r="L928" s="18">
        <v>1</v>
      </c>
      <c r="M928" s="22" t="s">
        <v>34</v>
      </c>
    </row>
    <row r="929" spans="1:13" x14ac:dyDescent="0.35">
      <c r="A929" s="18">
        <v>39</v>
      </c>
      <c r="B929" s="22" t="s">
        <v>39</v>
      </c>
      <c r="C929" s="18" t="s">
        <v>19</v>
      </c>
      <c r="D929" s="18">
        <v>2</v>
      </c>
      <c r="E929" s="18" t="s">
        <v>22</v>
      </c>
      <c r="F929" s="18" t="s">
        <v>24</v>
      </c>
      <c r="G929" s="18" t="s">
        <v>24</v>
      </c>
      <c r="H929" s="18">
        <v>10297</v>
      </c>
      <c r="I929" s="22" t="s">
        <v>42</v>
      </c>
      <c r="J929" s="18">
        <v>48</v>
      </c>
      <c r="K929" s="18" t="s">
        <v>14</v>
      </c>
      <c r="L929" s="18">
        <v>2</v>
      </c>
      <c r="M929" s="22" t="s">
        <v>45</v>
      </c>
    </row>
    <row r="930" spans="1:13" x14ac:dyDescent="0.35">
      <c r="A930" s="18">
        <v>58</v>
      </c>
      <c r="B930" s="22" t="s">
        <v>37</v>
      </c>
      <c r="C930" s="18" t="s">
        <v>19</v>
      </c>
      <c r="D930" s="18">
        <v>2</v>
      </c>
      <c r="E930" s="18" t="s">
        <v>21</v>
      </c>
      <c r="F930" s="18" t="s">
        <v>10</v>
      </c>
      <c r="G930" s="18" t="s">
        <v>10</v>
      </c>
      <c r="H930" s="18">
        <v>1867</v>
      </c>
      <c r="I930" s="22" t="s">
        <v>46</v>
      </c>
      <c r="J930" s="18">
        <v>30</v>
      </c>
      <c r="K930" s="18" t="s">
        <v>11</v>
      </c>
      <c r="L930" s="18">
        <v>1</v>
      </c>
      <c r="M930" s="22" t="s">
        <v>34</v>
      </c>
    </row>
    <row r="931" spans="1:13" x14ac:dyDescent="0.35">
      <c r="A931" s="18">
        <v>43</v>
      </c>
      <c r="B931" s="22" t="s">
        <v>39</v>
      </c>
      <c r="C931" s="18" t="s">
        <v>19</v>
      </c>
      <c r="D931" s="18">
        <v>1</v>
      </c>
      <c r="E931" s="18" t="s">
        <v>21</v>
      </c>
      <c r="F931" s="18" t="s">
        <v>24</v>
      </c>
      <c r="G931" s="18" t="s">
        <v>24</v>
      </c>
      <c r="H931" s="18">
        <v>1344</v>
      </c>
      <c r="I931" s="22" t="s">
        <v>46</v>
      </c>
      <c r="J931" s="18">
        <v>12</v>
      </c>
      <c r="K931" s="18" t="s">
        <v>14</v>
      </c>
      <c r="L931" s="18">
        <v>1</v>
      </c>
      <c r="M931" s="22" t="s">
        <v>34</v>
      </c>
    </row>
    <row r="932" spans="1:13" x14ac:dyDescent="0.35">
      <c r="A932" s="18">
        <v>24</v>
      </c>
      <c r="B932" s="22" t="s">
        <v>38</v>
      </c>
      <c r="C932" s="18" t="s">
        <v>19</v>
      </c>
      <c r="D932" s="18">
        <v>1</v>
      </c>
      <c r="E932" s="18" t="s">
        <v>21</v>
      </c>
      <c r="F932" s="18" t="s">
        <v>24</v>
      </c>
      <c r="G932" s="18" t="s">
        <v>24</v>
      </c>
      <c r="H932" s="18">
        <v>1747</v>
      </c>
      <c r="I932" s="22" t="s">
        <v>46</v>
      </c>
      <c r="J932" s="18">
        <v>24</v>
      </c>
      <c r="K932" s="18" t="s">
        <v>13</v>
      </c>
      <c r="L932" s="18">
        <v>1</v>
      </c>
      <c r="M932" s="22" t="s">
        <v>34</v>
      </c>
    </row>
    <row r="933" spans="1:13" x14ac:dyDescent="0.35">
      <c r="A933" s="18">
        <v>22</v>
      </c>
      <c r="B933" s="22" t="s">
        <v>38</v>
      </c>
      <c r="C933" s="18" t="s">
        <v>20</v>
      </c>
      <c r="D933" s="18">
        <v>2</v>
      </c>
      <c r="E933" s="18" t="s">
        <v>21</v>
      </c>
      <c r="F933" s="18" t="s">
        <v>24</v>
      </c>
      <c r="G933" s="18" t="s">
        <v>27</v>
      </c>
      <c r="H933" s="18">
        <v>1670</v>
      </c>
      <c r="I933" s="22" t="s">
        <v>46</v>
      </c>
      <c r="J933" s="18">
        <v>9</v>
      </c>
      <c r="K933" s="18" t="s">
        <v>11</v>
      </c>
      <c r="L933" s="18">
        <v>2</v>
      </c>
      <c r="M933" s="22" t="s">
        <v>45</v>
      </c>
    </row>
    <row r="934" spans="1:13" x14ac:dyDescent="0.35">
      <c r="A934" s="18">
        <v>30</v>
      </c>
      <c r="B934" s="22" t="s">
        <v>39</v>
      </c>
      <c r="C934" s="18" t="s">
        <v>19</v>
      </c>
      <c r="D934" s="18">
        <v>2</v>
      </c>
      <c r="E934" s="18" t="s">
        <v>21</v>
      </c>
      <c r="F934" s="18" t="s">
        <v>24</v>
      </c>
      <c r="G934" s="18" t="s">
        <v>10</v>
      </c>
      <c r="H934" s="18">
        <v>1224</v>
      </c>
      <c r="I934" s="22" t="s">
        <v>46</v>
      </c>
      <c r="J934" s="18">
        <v>9</v>
      </c>
      <c r="K934" s="18" t="s">
        <v>14</v>
      </c>
      <c r="L934" s="18">
        <v>1</v>
      </c>
      <c r="M934" s="22" t="s">
        <v>34</v>
      </c>
    </row>
    <row r="935" spans="1:13" x14ac:dyDescent="0.35">
      <c r="A935" s="18">
        <v>42</v>
      </c>
      <c r="B935" s="22" t="s">
        <v>39</v>
      </c>
      <c r="C935" s="18" t="s">
        <v>19</v>
      </c>
      <c r="D935" s="18">
        <v>2</v>
      </c>
      <c r="E935" s="18" t="s">
        <v>21</v>
      </c>
      <c r="F935" s="18" t="s">
        <v>25</v>
      </c>
      <c r="G935" s="18" t="s">
        <v>10</v>
      </c>
      <c r="H935" s="18">
        <v>522</v>
      </c>
      <c r="I935" s="22" t="s">
        <v>46</v>
      </c>
      <c r="J935" s="18">
        <v>12</v>
      </c>
      <c r="K935" s="18" t="s">
        <v>11</v>
      </c>
      <c r="L935" s="18">
        <v>1</v>
      </c>
      <c r="M935" s="22" t="s">
        <v>34</v>
      </c>
    </row>
    <row r="936" spans="1:13" x14ac:dyDescent="0.35">
      <c r="A936" s="18">
        <v>23</v>
      </c>
      <c r="B936" s="22" t="s">
        <v>38</v>
      </c>
      <c r="C936" s="18" t="s">
        <v>20</v>
      </c>
      <c r="D936" s="18">
        <v>2</v>
      </c>
      <c r="E936" s="18" t="s">
        <v>21</v>
      </c>
      <c r="F936" s="18" t="s">
        <v>24</v>
      </c>
      <c r="G936" s="18" t="s">
        <v>24</v>
      </c>
      <c r="H936" s="18">
        <v>1498</v>
      </c>
      <c r="I936" s="22" t="s">
        <v>46</v>
      </c>
      <c r="J936" s="18">
        <v>12</v>
      </c>
      <c r="K936" s="18" t="s">
        <v>11</v>
      </c>
      <c r="L936" s="18">
        <v>1</v>
      </c>
      <c r="M936" s="22" t="s">
        <v>34</v>
      </c>
    </row>
    <row r="937" spans="1:13" x14ac:dyDescent="0.35">
      <c r="A937" s="18">
        <v>30</v>
      </c>
      <c r="B937" s="22" t="s">
        <v>39</v>
      </c>
      <c r="C937" s="18" t="s">
        <v>19</v>
      </c>
      <c r="D937" s="18">
        <v>3</v>
      </c>
      <c r="E937" s="18" t="s">
        <v>21</v>
      </c>
      <c r="F937" s="18" t="s">
        <v>27</v>
      </c>
      <c r="G937" s="18" t="s">
        <v>27</v>
      </c>
      <c r="H937" s="18">
        <v>1919</v>
      </c>
      <c r="I937" s="22" t="s">
        <v>46</v>
      </c>
      <c r="J937" s="18">
        <v>30</v>
      </c>
      <c r="K937" s="18" t="s">
        <v>11</v>
      </c>
      <c r="L937" s="18">
        <v>2</v>
      </c>
      <c r="M937" s="22" t="s">
        <v>45</v>
      </c>
    </row>
    <row r="938" spans="1:13" x14ac:dyDescent="0.35">
      <c r="A938" s="18">
        <v>28</v>
      </c>
      <c r="B938" s="22" t="s">
        <v>38</v>
      </c>
      <c r="C938" s="18" t="s">
        <v>20</v>
      </c>
      <c r="D938" s="18">
        <v>1</v>
      </c>
      <c r="E938" s="18" t="s">
        <v>21</v>
      </c>
      <c r="F938" s="18" t="s">
        <v>24</v>
      </c>
      <c r="G938" s="18" t="s">
        <v>26</v>
      </c>
      <c r="H938" s="18">
        <v>745</v>
      </c>
      <c r="I938" s="22" t="s">
        <v>46</v>
      </c>
      <c r="J938" s="18">
        <v>9</v>
      </c>
      <c r="K938" s="18" t="s">
        <v>11</v>
      </c>
      <c r="L938" s="18">
        <v>2</v>
      </c>
      <c r="M938" s="22" t="s">
        <v>45</v>
      </c>
    </row>
    <row r="939" spans="1:13" x14ac:dyDescent="0.35">
      <c r="A939" s="18">
        <v>30</v>
      </c>
      <c r="B939" s="22" t="s">
        <v>39</v>
      </c>
      <c r="C939" s="18" t="s">
        <v>19</v>
      </c>
      <c r="D939" s="18">
        <v>3</v>
      </c>
      <c r="E939" s="18" t="s">
        <v>23</v>
      </c>
      <c r="F939" s="18" t="s">
        <v>24</v>
      </c>
      <c r="G939" s="18" t="s">
        <v>27</v>
      </c>
      <c r="H939" s="18">
        <v>2063</v>
      </c>
      <c r="I939" s="22" t="s">
        <v>43</v>
      </c>
      <c r="J939" s="18">
        <v>6</v>
      </c>
      <c r="K939" s="18" t="s">
        <v>11</v>
      </c>
      <c r="L939" s="18">
        <v>1</v>
      </c>
      <c r="M939" s="22" t="s">
        <v>34</v>
      </c>
    </row>
    <row r="940" spans="1:13" x14ac:dyDescent="0.35">
      <c r="A940" s="18">
        <v>42</v>
      </c>
      <c r="B940" s="22" t="s">
        <v>39</v>
      </c>
      <c r="C940" s="18" t="s">
        <v>19</v>
      </c>
      <c r="D940" s="18">
        <v>2</v>
      </c>
      <c r="E940" s="18" t="s">
        <v>22</v>
      </c>
      <c r="F940" s="18" t="s">
        <v>24</v>
      </c>
      <c r="G940" s="18" t="s">
        <v>27</v>
      </c>
      <c r="H940" s="18">
        <v>6288</v>
      </c>
      <c r="I940" s="22" t="s">
        <v>42</v>
      </c>
      <c r="J940" s="18">
        <v>60</v>
      </c>
      <c r="K940" s="18" t="s">
        <v>12</v>
      </c>
      <c r="L940" s="18">
        <v>2</v>
      </c>
      <c r="M940" s="22" t="s">
        <v>45</v>
      </c>
    </row>
    <row r="941" spans="1:13" x14ac:dyDescent="0.35">
      <c r="A941" s="18">
        <v>46</v>
      </c>
      <c r="B941" s="22" t="s">
        <v>39</v>
      </c>
      <c r="C941" s="18" t="s">
        <v>19</v>
      </c>
      <c r="D941" s="18">
        <v>3</v>
      </c>
      <c r="E941" s="18" t="s">
        <v>21</v>
      </c>
      <c r="F941" s="18" t="s">
        <v>10</v>
      </c>
      <c r="G941" s="18" t="s">
        <v>10</v>
      </c>
      <c r="H941" s="18">
        <v>6842</v>
      </c>
      <c r="I941" s="22" t="s">
        <v>42</v>
      </c>
      <c r="J941" s="18">
        <v>24</v>
      </c>
      <c r="K941" s="18" t="s">
        <v>14</v>
      </c>
      <c r="L941" s="18">
        <v>1</v>
      </c>
      <c r="M941" s="22" t="s">
        <v>34</v>
      </c>
    </row>
    <row r="942" spans="1:13" x14ac:dyDescent="0.35">
      <c r="A942" s="18">
        <v>45</v>
      </c>
      <c r="B942" s="22" t="s">
        <v>39</v>
      </c>
      <c r="C942" s="18" t="s">
        <v>19</v>
      </c>
      <c r="D942" s="18">
        <v>3</v>
      </c>
      <c r="E942" s="18" t="s">
        <v>21</v>
      </c>
      <c r="F942" s="18" t="s">
        <v>10</v>
      </c>
      <c r="G942" s="18" t="s">
        <v>10</v>
      </c>
      <c r="H942" s="18">
        <v>3527</v>
      </c>
      <c r="I942" s="22" t="s">
        <v>43</v>
      </c>
      <c r="J942" s="18">
        <v>12</v>
      </c>
      <c r="K942" s="18" t="s">
        <v>14</v>
      </c>
      <c r="L942" s="18">
        <v>1</v>
      </c>
      <c r="M942" s="22" t="s">
        <v>34</v>
      </c>
    </row>
    <row r="943" spans="1:13" x14ac:dyDescent="0.35">
      <c r="A943" s="18">
        <v>31</v>
      </c>
      <c r="B943" s="22" t="s">
        <v>39</v>
      </c>
      <c r="C943" s="18" t="s">
        <v>19</v>
      </c>
      <c r="D943" s="18">
        <v>1</v>
      </c>
      <c r="E943" s="18" t="s">
        <v>21</v>
      </c>
      <c r="F943" s="18" t="s">
        <v>24</v>
      </c>
      <c r="G943" s="18" t="s">
        <v>10</v>
      </c>
      <c r="H943" s="18">
        <v>1546</v>
      </c>
      <c r="I943" s="22" t="s">
        <v>46</v>
      </c>
      <c r="J943" s="18">
        <v>10</v>
      </c>
      <c r="K943" s="18" t="s">
        <v>14</v>
      </c>
      <c r="L943" s="18">
        <v>1</v>
      </c>
      <c r="M943" s="22" t="s">
        <v>34</v>
      </c>
    </row>
    <row r="944" spans="1:13" x14ac:dyDescent="0.35">
      <c r="A944" s="18">
        <v>31</v>
      </c>
      <c r="B944" s="22" t="s">
        <v>39</v>
      </c>
      <c r="C944" s="18" t="s">
        <v>19</v>
      </c>
      <c r="D944" s="18">
        <v>2</v>
      </c>
      <c r="E944" s="18" t="s">
        <v>21</v>
      </c>
      <c r="F944" s="18" t="s">
        <v>10</v>
      </c>
      <c r="G944" s="18" t="s">
        <v>10</v>
      </c>
      <c r="H944" s="18">
        <v>929</v>
      </c>
      <c r="I944" s="22" t="s">
        <v>46</v>
      </c>
      <c r="J944" s="18">
        <v>24</v>
      </c>
      <c r="K944" s="18" t="s">
        <v>13</v>
      </c>
      <c r="L944" s="18">
        <v>1</v>
      </c>
      <c r="M944" s="22" t="s">
        <v>34</v>
      </c>
    </row>
    <row r="945" spans="1:13" x14ac:dyDescent="0.35">
      <c r="A945" s="18">
        <v>42</v>
      </c>
      <c r="B945" s="22" t="s">
        <v>39</v>
      </c>
      <c r="C945" s="18" t="s">
        <v>19</v>
      </c>
      <c r="D945" s="18">
        <v>1</v>
      </c>
      <c r="E945" s="18" t="s">
        <v>21</v>
      </c>
      <c r="F945" s="18" t="s">
        <v>24</v>
      </c>
      <c r="G945" s="18" t="s">
        <v>10</v>
      </c>
      <c r="H945" s="18">
        <v>1455</v>
      </c>
      <c r="I945" s="22" t="s">
        <v>46</v>
      </c>
      <c r="J945" s="18">
        <v>4</v>
      </c>
      <c r="K945" s="18" t="s">
        <v>14</v>
      </c>
      <c r="L945" s="18">
        <v>1</v>
      </c>
      <c r="M945" s="22" t="s">
        <v>34</v>
      </c>
    </row>
    <row r="946" spans="1:13" x14ac:dyDescent="0.35">
      <c r="A946" s="18">
        <v>46</v>
      </c>
      <c r="B946" s="22" t="s">
        <v>39</v>
      </c>
      <c r="C946" s="18" t="s">
        <v>20</v>
      </c>
      <c r="D946" s="18">
        <v>2</v>
      </c>
      <c r="E946" s="18" t="s">
        <v>23</v>
      </c>
      <c r="F946" s="18" t="s">
        <v>24</v>
      </c>
      <c r="G946" s="18" t="s">
        <v>24</v>
      </c>
      <c r="H946" s="18">
        <v>1845</v>
      </c>
      <c r="I946" s="22" t="s">
        <v>46</v>
      </c>
      <c r="J946" s="18">
        <v>15</v>
      </c>
      <c r="K946" s="18" t="s">
        <v>13</v>
      </c>
      <c r="L946" s="18">
        <v>1</v>
      </c>
      <c r="M946" s="22" t="s">
        <v>34</v>
      </c>
    </row>
    <row r="947" spans="1:13" x14ac:dyDescent="0.35">
      <c r="A947" s="18">
        <v>30</v>
      </c>
      <c r="B947" s="22" t="s">
        <v>39</v>
      </c>
      <c r="C947" s="18" t="s">
        <v>20</v>
      </c>
      <c r="D947" s="18">
        <v>2</v>
      </c>
      <c r="E947" s="18" t="s">
        <v>21</v>
      </c>
      <c r="F947" s="18" t="s">
        <v>25</v>
      </c>
      <c r="G947" s="18" t="s">
        <v>27</v>
      </c>
      <c r="H947" s="18">
        <v>8358</v>
      </c>
      <c r="I947" s="22" t="s">
        <v>42</v>
      </c>
      <c r="J947" s="18">
        <v>48</v>
      </c>
      <c r="K947" s="18" t="s">
        <v>14</v>
      </c>
      <c r="L947" s="18">
        <v>1</v>
      </c>
      <c r="M947" s="22" t="s">
        <v>34</v>
      </c>
    </row>
    <row r="948" spans="1:13" x14ac:dyDescent="0.35">
      <c r="A948" s="18">
        <v>30</v>
      </c>
      <c r="B948" s="22" t="s">
        <v>39</v>
      </c>
      <c r="C948" s="18" t="s">
        <v>19</v>
      </c>
      <c r="D948" s="18">
        <v>2</v>
      </c>
      <c r="E948" s="18" t="s">
        <v>22</v>
      </c>
      <c r="F948" s="18" t="s">
        <v>25</v>
      </c>
      <c r="G948" s="18" t="s">
        <v>24</v>
      </c>
      <c r="H948" s="18">
        <v>3349</v>
      </c>
      <c r="I948" s="22" t="s">
        <v>43</v>
      </c>
      <c r="J948" s="18">
        <v>24</v>
      </c>
      <c r="K948" s="18" t="s">
        <v>13</v>
      </c>
      <c r="L948" s="18">
        <v>2</v>
      </c>
      <c r="M948" s="22" t="s">
        <v>45</v>
      </c>
    </row>
    <row r="949" spans="1:13" x14ac:dyDescent="0.35">
      <c r="A949" s="18">
        <v>38</v>
      </c>
      <c r="B949" s="22" t="s">
        <v>39</v>
      </c>
      <c r="C949" s="18" t="s">
        <v>19</v>
      </c>
      <c r="D949" s="18">
        <v>3</v>
      </c>
      <c r="E949" s="18" t="s">
        <v>21</v>
      </c>
      <c r="F949" s="18" t="s">
        <v>10</v>
      </c>
      <c r="G949" s="18" t="s">
        <v>10</v>
      </c>
      <c r="H949" s="18">
        <v>2859</v>
      </c>
      <c r="I949" s="22" t="s">
        <v>43</v>
      </c>
      <c r="J949" s="18">
        <v>12</v>
      </c>
      <c r="K949" s="18" t="s">
        <v>14</v>
      </c>
      <c r="L949" s="18">
        <v>1</v>
      </c>
      <c r="M949" s="22" t="s">
        <v>34</v>
      </c>
    </row>
    <row r="950" spans="1:13" x14ac:dyDescent="0.35">
      <c r="A950" s="18">
        <v>43</v>
      </c>
      <c r="B950" s="22" t="s">
        <v>39</v>
      </c>
      <c r="C950" s="18" t="s">
        <v>19</v>
      </c>
      <c r="D950" s="18">
        <v>1</v>
      </c>
      <c r="E950" s="18" t="s">
        <v>21</v>
      </c>
      <c r="F950" s="18" t="s">
        <v>24</v>
      </c>
      <c r="G950" s="18" t="s">
        <v>10</v>
      </c>
      <c r="H950" s="18">
        <v>1533</v>
      </c>
      <c r="I950" s="22" t="s">
        <v>46</v>
      </c>
      <c r="J950" s="18">
        <v>18</v>
      </c>
      <c r="K950" s="18" t="s">
        <v>13</v>
      </c>
      <c r="L950" s="18">
        <v>2</v>
      </c>
      <c r="M950" s="22" t="s">
        <v>45</v>
      </c>
    </row>
    <row r="951" spans="1:13" x14ac:dyDescent="0.35">
      <c r="A951" s="18">
        <v>31</v>
      </c>
      <c r="B951" s="22" t="s">
        <v>39</v>
      </c>
      <c r="C951" s="18" t="s">
        <v>19</v>
      </c>
      <c r="D951" s="18">
        <v>2</v>
      </c>
      <c r="E951" s="18" t="s">
        <v>21</v>
      </c>
      <c r="F951" s="18" t="s">
        <v>27</v>
      </c>
      <c r="G951" s="18" t="s">
        <v>10</v>
      </c>
      <c r="H951" s="18">
        <v>3621</v>
      </c>
      <c r="I951" s="22" t="s">
        <v>43</v>
      </c>
      <c r="J951" s="18">
        <v>24</v>
      </c>
      <c r="K951" s="18" t="s">
        <v>11</v>
      </c>
      <c r="L951" s="18">
        <v>2</v>
      </c>
      <c r="M951" s="22" t="s">
        <v>45</v>
      </c>
    </row>
    <row r="952" spans="1:13" x14ac:dyDescent="0.35">
      <c r="A952" s="18">
        <v>40</v>
      </c>
      <c r="B952" s="22" t="s">
        <v>39</v>
      </c>
      <c r="C952" s="18" t="s">
        <v>19</v>
      </c>
      <c r="D952" s="18">
        <v>0</v>
      </c>
      <c r="E952" s="18" t="s">
        <v>21</v>
      </c>
      <c r="F952" s="18" t="s">
        <v>24</v>
      </c>
      <c r="G952" s="18" t="s">
        <v>27</v>
      </c>
      <c r="H952" s="18">
        <v>3590</v>
      </c>
      <c r="I952" s="22" t="s">
        <v>43</v>
      </c>
      <c r="J952" s="18">
        <v>18</v>
      </c>
      <c r="K952" s="18" t="s">
        <v>15</v>
      </c>
      <c r="L952" s="18">
        <v>1</v>
      </c>
      <c r="M952" s="22" t="s">
        <v>34</v>
      </c>
    </row>
    <row r="953" spans="1:13" x14ac:dyDescent="0.35">
      <c r="A953" s="18">
        <v>24</v>
      </c>
      <c r="B953" s="22" t="s">
        <v>38</v>
      </c>
      <c r="C953" s="18" t="s">
        <v>19</v>
      </c>
      <c r="D953" s="18">
        <v>2</v>
      </c>
      <c r="E953" s="18" t="s">
        <v>21</v>
      </c>
      <c r="F953" s="18" t="s">
        <v>24</v>
      </c>
      <c r="G953" s="18" t="s">
        <v>24</v>
      </c>
      <c r="H953" s="18">
        <v>2145</v>
      </c>
      <c r="I953" s="22" t="s">
        <v>43</v>
      </c>
      <c r="J953" s="18">
        <v>36</v>
      </c>
      <c r="K953" s="18" t="s">
        <v>15</v>
      </c>
      <c r="L953" s="18">
        <v>2</v>
      </c>
      <c r="M953" s="22" t="s">
        <v>45</v>
      </c>
    </row>
    <row r="954" spans="1:13" x14ac:dyDescent="0.35">
      <c r="A954" s="18">
        <v>28</v>
      </c>
      <c r="B954" s="22" t="s">
        <v>38</v>
      </c>
      <c r="C954" s="18" t="s">
        <v>20</v>
      </c>
      <c r="D954" s="18">
        <v>2</v>
      </c>
      <c r="E954" s="18" t="s">
        <v>23</v>
      </c>
      <c r="F954" s="18" t="s">
        <v>25</v>
      </c>
      <c r="G954" s="18" t="s">
        <v>27</v>
      </c>
      <c r="H954" s="18">
        <v>4113</v>
      </c>
      <c r="I954" s="22" t="s">
        <v>43</v>
      </c>
      <c r="J954" s="18">
        <v>24</v>
      </c>
      <c r="K954" s="18" t="s">
        <v>14</v>
      </c>
      <c r="L954" s="18">
        <v>2</v>
      </c>
      <c r="M954" s="22" t="s">
        <v>45</v>
      </c>
    </row>
    <row r="955" spans="1:13" x14ac:dyDescent="0.35">
      <c r="A955" s="18">
        <v>26</v>
      </c>
      <c r="B955" s="22" t="s">
        <v>38</v>
      </c>
      <c r="C955" s="18" t="s">
        <v>20</v>
      </c>
      <c r="D955" s="18">
        <v>3</v>
      </c>
      <c r="E955" s="18" t="s">
        <v>21</v>
      </c>
      <c r="F955" s="18" t="s">
        <v>24</v>
      </c>
      <c r="G955" s="18" t="s">
        <v>10</v>
      </c>
      <c r="H955" s="18">
        <v>10974</v>
      </c>
      <c r="I955" s="22" t="s">
        <v>42</v>
      </c>
      <c r="J955" s="18">
        <v>36</v>
      </c>
      <c r="K955" s="18" t="s">
        <v>13</v>
      </c>
      <c r="L955" s="18">
        <v>2</v>
      </c>
      <c r="M955" s="22" t="s">
        <v>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A46F2-DB47-4B0B-ABE5-1FAC0E487E58}">
  <dimension ref="A1:F8"/>
  <sheetViews>
    <sheetView workbookViewId="0">
      <selection activeCell="F25" sqref="F25"/>
    </sheetView>
  </sheetViews>
  <sheetFormatPr defaultRowHeight="14.5" x14ac:dyDescent="0.35"/>
  <cols>
    <col min="1" max="1" width="12.453125" bestFit="1" customWidth="1"/>
    <col min="2" max="2" width="17.453125" bestFit="1" customWidth="1"/>
    <col min="6" max="6" width="34.81640625" bestFit="1" customWidth="1"/>
  </cols>
  <sheetData>
    <row r="1" spans="1:6" ht="18.5" x14ac:dyDescent="0.45">
      <c r="A1" s="24" t="s">
        <v>50</v>
      </c>
      <c r="B1" s="24"/>
      <c r="C1" s="24"/>
      <c r="D1" s="24"/>
    </row>
    <row r="2" spans="1:6" ht="11.5" customHeight="1" x14ac:dyDescent="0.35"/>
    <row r="3" spans="1:6" x14ac:dyDescent="0.35">
      <c r="A3" s="3" t="s">
        <v>47</v>
      </c>
      <c r="B3" t="s">
        <v>44</v>
      </c>
    </row>
    <row r="4" spans="1:6" x14ac:dyDescent="0.35">
      <c r="A4" s="4" t="s">
        <v>45</v>
      </c>
      <c r="B4" s="5">
        <v>289</v>
      </c>
    </row>
    <row r="5" spans="1:6" x14ac:dyDescent="0.35">
      <c r="A5" s="4" t="s">
        <v>34</v>
      </c>
      <c r="B5" s="5">
        <v>665</v>
      </c>
    </row>
    <row r="6" spans="1:6" x14ac:dyDescent="0.35">
      <c r="A6" s="4" t="s">
        <v>48</v>
      </c>
      <c r="B6" s="5">
        <v>954</v>
      </c>
      <c r="F6" s="25" t="s">
        <v>89</v>
      </c>
    </row>
    <row r="7" spans="1:6" x14ac:dyDescent="0.35">
      <c r="F7" s="16" t="s">
        <v>51</v>
      </c>
    </row>
    <row r="8" spans="1:6" x14ac:dyDescent="0.35">
      <c r="F8" s="16" t="s">
        <v>52</v>
      </c>
    </row>
  </sheetData>
  <mergeCells count="1">
    <mergeCell ref="A1:D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5DC94-2BBA-474C-BE9C-439396A1153C}">
  <dimension ref="A1:G15"/>
  <sheetViews>
    <sheetView workbookViewId="0">
      <selection activeCell="D21" sqref="D21"/>
    </sheetView>
  </sheetViews>
  <sheetFormatPr defaultRowHeight="14.5" x14ac:dyDescent="0.35"/>
  <cols>
    <col min="1" max="1" width="17.453125" bestFit="1" customWidth="1"/>
    <col min="2" max="2" width="15.6328125" bestFit="1" customWidth="1"/>
    <col min="3" max="3" width="12.08984375" bestFit="1" customWidth="1"/>
    <col min="4" max="4" width="15.7265625" bestFit="1" customWidth="1"/>
    <col min="5" max="5" width="10.36328125" bestFit="1" customWidth="1"/>
    <col min="7" max="7" width="58.81640625" bestFit="1" customWidth="1"/>
  </cols>
  <sheetData>
    <row r="1" spans="1:7" ht="18.5" x14ac:dyDescent="0.45">
      <c r="A1" s="24" t="s">
        <v>94</v>
      </c>
      <c r="B1" s="24"/>
      <c r="C1" s="24"/>
      <c r="D1" s="24"/>
      <c r="E1" s="24"/>
    </row>
    <row r="3" spans="1:7" x14ac:dyDescent="0.35">
      <c r="A3" s="3" t="s">
        <v>44</v>
      </c>
      <c r="B3" s="3" t="s">
        <v>49</v>
      </c>
    </row>
    <row r="4" spans="1:7" x14ac:dyDescent="0.35">
      <c r="A4" s="3" t="s">
        <v>47</v>
      </c>
      <c r="B4" t="s">
        <v>42</v>
      </c>
      <c r="C4" t="s">
        <v>46</v>
      </c>
      <c r="D4" t="s">
        <v>43</v>
      </c>
      <c r="E4" t="s">
        <v>48</v>
      </c>
    </row>
    <row r="5" spans="1:7" x14ac:dyDescent="0.35">
      <c r="A5" s="4" t="s">
        <v>45</v>
      </c>
      <c r="B5" s="5">
        <v>75</v>
      </c>
      <c r="C5" s="5">
        <v>118</v>
      </c>
      <c r="D5" s="5">
        <v>96</v>
      </c>
      <c r="E5" s="5">
        <v>289</v>
      </c>
    </row>
    <row r="6" spans="1:7" x14ac:dyDescent="0.35">
      <c r="A6" s="4" t="s">
        <v>34</v>
      </c>
      <c r="B6" s="5">
        <v>106</v>
      </c>
      <c r="C6" s="5">
        <v>295</v>
      </c>
      <c r="D6" s="5">
        <v>264</v>
      </c>
      <c r="E6" s="5">
        <v>665</v>
      </c>
    </row>
    <row r="7" spans="1:7" x14ac:dyDescent="0.35">
      <c r="A7" s="4" t="s">
        <v>48</v>
      </c>
      <c r="B7" s="5">
        <v>181</v>
      </c>
      <c r="C7" s="5">
        <v>413</v>
      </c>
      <c r="D7" s="5">
        <v>360</v>
      </c>
      <c r="E7" s="5">
        <v>954</v>
      </c>
    </row>
    <row r="12" spans="1:7" ht="18.5" x14ac:dyDescent="0.35">
      <c r="G12" s="27" t="s">
        <v>89</v>
      </c>
    </row>
    <row r="13" spans="1:7" x14ac:dyDescent="0.35">
      <c r="G13" s="16" t="s">
        <v>91</v>
      </c>
    </row>
    <row r="14" spans="1:7" x14ac:dyDescent="0.35">
      <c r="G14" s="16" t="s">
        <v>92</v>
      </c>
    </row>
    <row r="15" spans="1:7" x14ac:dyDescent="0.35">
      <c r="G15" s="16" t="s">
        <v>93</v>
      </c>
    </row>
  </sheetData>
  <mergeCells count="1">
    <mergeCell ref="A1:E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457A8-C3FD-4226-83BE-C9E2181688F2}">
  <dimension ref="A1:P20"/>
  <sheetViews>
    <sheetView tabSelected="1" workbookViewId="0">
      <selection activeCell="N15" sqref="N15"/>
    </sheetView>
  </sheetViews>
  <sheetFormatPr defaultRowHeight="14.5" x14ac:dyDescent="0.35"/>
  <cols>
    <col min="1" max="1" width="17.453125" bestFit="1" customWidth="1"/>
    <col min="2" max="2" width="15.6328125" bestFit="1" customWidth="1"/>
    <col min="3" max="7" width="5.453125" bestFit="1" customWidth="1"/>
    <col min="8" max="8" width="10.36328125" bestFit="1" customWidth="1"/>
    <col min="9" max="9" width="2.81640625" bestFit="1" customWidth="1"/>
    <col min="10" max="10" width="3.81640625" bestFit="1" customWidth="1"/>
    <col min="11" max="14" width="2.81640625" bestFit="1" customWidth="1"/>
    <col min="15" max="15" width="12.08984375" bestFit="1" customWidth="1"/>
    <col min="16" max="16" width="62.08984375" bestFit="1" customWidth="1"/>
    <col min="17" max="18" width="2.81640625" bestFit="1" customWidth="1"/>
    <col min="19" max="19" width="3.81640625" bestFit="1" customWidth="1"/>
    <col min="20" max="23" width="2.81640625" bestFit="1" customWidth="1"/>
    <col min="24" max="24" width="12.08984375" bestFit="1" customWidth="1"/>
    <col min="25" max="25" width="62.08984375" bestFit="1" customWidth="1"/>
    <col min="26" max="34" width="2.81640625" bestFit="1" customWidth="1"/>
    <col min="35" max="35" width="10.36328125" bestFit="1" customWidth="1"/>
  </cols>
  <sheetData>
    <row r="1" spans="1:8" ht="18.5" x14ac:dyDescent="0.35">
      <c r="A1" s="26" t="s">
        <v>95</v>
      </c>
      <c r="B1" s="26"/>
      <c r="C1" s="26"/>
      <c r="D1" s="26"/>
      <c r="E1" s="26"/>
      <c r="F1" s="26"/>
      <c r="G1" s="26"/>
    </row>
    <row r="3" spans="1:8" x14ac:dyDescent="0.35">
      <c r="A3" s="3" t="s">
        <v>44</v>
      </c>
      <c r="B3" s="3" t="s">
        <v>49</v>
      </c>
    </row>
    <row r="4" spans="1:8" x14ac:dyDescent="0.35">
      <c r="A4" s="3" t="s">
        <v>47</v>
      </c>
      <c r="B4" t="s">
        <v>53</v>
      </c>
      <c r="C4" t="s">
        <v>54</v>
      </c>
      <c r="D4" t="s">
        <v>55</v>
      </c>
      <c r="E4" t="s">
        <v>56</v>
      </c>
      <c r="F4" t="s">
        <v>57</v>
      </c>
      <c r="G4" t="s">
        <v>58</v>
      </c>
      <c r="H4" t="s">
        <v>48</v>
      </c>
    </row>
    <row r="5" spans="1:8" x14ac:dyDescent="0.35">
      <c r="A5" s="4" t="s">
        <v>34</v>
      </c>
      <c r="B5" s="5">
        <v>148</v>
      </c>
      <c r="C5" s="5">
        <v>276</v>
      </c>
      <c r="D5" s="5">
        <v>157</v>
      </c>
      <c r="E5" s="5">
        <v>56</v>
      </c>
      <c r="F5" s="5">
        <v>21</v>
      </c>
      <c r="G5" s="5">
        <v>7</v>
      </c>
      <c r="H5" s="5">
        <v>665</v>
      </c>
    </row>
    <row r="6" spans="1:8" x14ac:dyDescent="0.35">
      <c r="A6" s="4" t="s">
        <v>45</v>
      </c>
      <c r="B6" s="5">
        <v>27</v>
      </c>
      <c r="C6" s="5">
        <v>114</v>
      </c>
      <c r="D6" s="5">
        <v>70</v>
      </c>
      <c r="E6" s="5">
        <v>44</v>
      </c>
      <c r="F6" s="5">
        <v>28</v>
      </c>
      <c r="G6" s="5">
        <v>6</v>
      </c>
      <c r="H6" s="5">
        <v>289</v>
      </c>
    </row>
    <row r="7" spans="1:8" x14ac:dyDescent="0.35">
      <c r="A7" s="4" t="s">
        <v>48</v>
      </c>
      <c r="B7" s="5">
        <v>175</v>
      </c>
      <c r="C7" s="5">
        <v>390</v>
      </c>
      <c r="D7" s="5">
        <v>227</v>
      </c>
      <c r="E7" s="5">
        <v>100</v>
      </c>
      <c r="F7" s="5">
        <v>49</v>
      </c>
      <c r="G7" s="5">
        <v>13</v>
      </c>
      <c r="H7" s="5">
        <v>954</v>
      </c>
    </row>
    <row r="17" spans="15:16" ht="16" x14ac:dyDescent="0.35">
      <c r="O17" s="19" t="s">
        <v>77</v>
      </c>
      <c r="P17" s="19"/>
    </row>
    <row r="18" spans="15:16" x14ac:dyDescent="0.35">
      <c r="O18" s="15" t="s">
        <v>59</v>
      </c>
      <c r="P18" s="16" t="s">
        <v>60</v>
      </c>
    </row>
    <row r="19" spans="15:16" x14ac:dyDescent="0.35">
      <c r="O19" s="15" t="s">
        <v>61</v>
      </c>
      <c r="P19" s="16" t="s">
        <v>62</v>
      </c>
    </row>
    <row r="20" spans="15:16" x14ac:dyDescent="0.35">
      <c r="O20" s="15" t="s">
        <v>63</v>
      </c>
      <c r="P20" s="16" t="s">
        <v>64</v>
      </c>
    </row>
  </sheetData>
  <mergeCells count="2">
    <mergeCell ref="O17:P17"/>
    <mergeCell ref="A1:G1"/>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801DC-DCBF-42CA-9A42-31358216DB88}">
  <dimension ref="A1:L24"/>
  <sheetViews>
    <sheetView workbookViewId="0">
      <selection activeCell="G3" sqref="G3"/>
    </sheetView>
  </sheetViews>
  <sheetFormatPr defaultRowHeight="14.5" x14ac:dyDescent="0.35"/>
  <cols>
    <col min="1" max="1" width="17.453125" bestFit="1" customWidth="1"/>
    <col min="2" max="2" width="15.6328125" bestFit="1" customWidth="1"/>
    <col min="3" max="4" width="7.90625" bestFit="1" customWidth="1"/>
    <col min="5" max="5" width="10.36328125" bestFit="1" customWidth="1"/>
    <col min="12" max="12" width="43" bestFit="1" customWidth="1"/>
  </cols>
  <sheetData>
    <row r="1" spans="1:12" ht="18.5" x14ac:dyDescent="0.45">
      <c r="A1" s="24" t="s">
        <v>65</v>
      </c>
      <c r="B1" s="24"/>
      <c r="C1" s="24"/>
      <c r="D1" s="24"/>
      <c r="E1" s="24"/>
    </row>
    <row r="3" spans="1:12" x14ac:dyDescent="0.35">
      <c r="A3" s="3" t="s">
        <v>44</v>
      </c>
      <c r="B3" s="3" t="s">
        <v>49</v>
      </c>
      <c r="F3" s="8"/>
      <c r="G3" s="8"/>
      <c r="H3" s="8"/>
    </row>
    <row r="4" spans="1:12" x14ac:dyDescent="0.35">
      <c r="A4" s="3" t="s">
        <v>47</v>
      </c>
      <c r="B4" t="s">
        <v>39</v>
      </c>
      <c r="C4" t="s">
        <v>37</v>
      </c>
      <c r="D4" t="s">
        <v>38</v>
      </c>
      <c r="E4" t="s">
        <v>48</v>
      </c>
      <c r="F4" s="9"/>
      <c r="G4" s="9"/>
      <c r="H4" s="9"/>
    </row>
    <row r="5" spans="1:12" x14ac:dyDescent="0.35">
      <c r="A5" s="4" t="s">
        <v>45</v>
      </c>
      <c r="B5" s="7">
        <v>0.25</v>
      </c>
      <c r="C5" s="7">
        <v>0.22727272727272727</v>
      </c>
      <c r="D5" s="7">
        <v>0.47872340425531917</v>
      </c>
      <c r="E5" s="7">
        <v>0.31366459627329191</v>
      </c>
      <c r="F5" s="10"/>
      <c r="G5" s="10"/>
      <c r="H5" s="10"/>
    </row>
    <row r="6" spans="1:12" ht="17.5" x14ac:dyDescent="0.35">
      <c r="A6" s="4" t="s">
        <v>34</v>
      </c>
      <c r="B6" s="7">
        <v>0.75</v>
      </c>
      <c r="C6" s="7">
        <v>0.77272727272727271</v>
      </c>
      <c r="D6" s="7">
        <v>0.52127659574468088</v>
      </c>
      <c r="E6" s="7">
        <v>0.68633540372670809</v>
      </c>
      <c r="L6" s="13" t="s">
        <v>66</v>
      </c>
    </row>
    <row r="7" spans="1:12" x14ac:dyDescent="0.35">
      <c r="A7" s="4" t="s">
        <v>48</v>
      </c>
      <c r="B7" s="7">
        <v>1</v>
      </c>
      <c r="C7" s="7">
        <v>1</v>
      </c>
      <c r="D7" s="7">
        <v>1</v>
      </c>
      <c r="E7" s="7">
        <v>1</v>
      </c>
      <c r="L7" s="15" t="s">
        <v>67</v>
      </c>
    </row>
    <row r="8" spans="1:12" x14ac:dyDescent="0.35">
      <c r="L8" s="16" t="s">
        <v>68</v>
      </c>
    </row>
    <row r="9" spans="1:12" x14ac:dyDescent="0.35">
      <c r="L9" s="14"/>
    </row>
    <row r="10" spans="1:12" ht="17.5" x14ac:dyDescent="0.35">
      <c r="L10" s="13" t="s">
        <v>69</v>
      </c>
    </row>
    <row r="11" spans="1:12" x14ac:dyDescent="0.35">
      <c r="L11" s="15" t="s">
        <v>70</v>
      </c>
    </row>
    <row r="12" spans="1:12" x14ac:dyDescent="0.35">
      <c r="L12" s="16" t="s">
        <v>71</v>
      </c>
    </row>
    <row r="13" spans="1:12" x14ac:dyDescent="0.35">
      <c r="L13" s="14"/>
    </row>
    <row r="14" spans="1:12" ht="17.5" x14ac:dyDescent="0.35">
      <c r="L14" s="13" t="s">
        <v>72</v>
      </c>
    </row>
    <row r="15" spans="1:12" x14ac:dyDescent="0.35">
      <c r="L15" s="15" t="s">
        <v>73</v>
      </c>
    </row>
    <row r="16" spans="1:12" x14ac:dyDescent="0.35">
      <c r="L16" s="16" t="s">
        <v>74</v>
      </c>
    </row>
    <row r="17" spans="12:12" x14ac:dyDescent="0.35">
      <c r="L17" s="28"/>
    </row>
    <row r="18" spans="12:12" x14ac:dyDescent="0.35">
      <c r="L18" s="29"/>
    </row>
    <row r="19" spans="12:12" x14ac:dyDescent="0.35">
      <c r="L19" s="29"/>
    </row>
    <row r="20" spans="12:12" x14ac:dyDescent="0.35">
      <c r="L20" s="29"/>
    </row>
    <row r="21" spans="12:12" x14ac:dyDescent="0.35">
      <c r="L21" s="29"/>
    </row>
    <row r="22" spans="12:12" ht="18.5" x14ac:dyDescent="0.45">
      <c r="L22" s="12" t="s">
        <v>76</v>
      </c>
    </row>
    <row r="23" spans="12:12" ht="58" x14ac:dyDescent="0.35">
      <c r="L23" s="17" t="s">
        <v>75</v>
      </c>
    </row>
    <row r="24" spans="12:12" x14ac:dyDescent="0.35">
      <c r="L24" s="11"/>
    </row>
  </sheetData>
  <mergeCells count="1">
    <mergeCell ref="A1:E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7790A-0E72-44C7-A25A-BA75F06B8561}">
  <dimension ref="A1:L29"/>
  <sheetViews>
    <sheetView workbookViewId="0">
      <selection activeCell="Q25" sqref="Q25"/>
    </sheetView>
  </sheetViews>
  <sheetFormatPr defaultRowHeight="14.5" x14ac:dyDescent="0.35"/>
  <cols>
    <col min="1" max="1" width="17.453125" bestFit="1" customWidth="1"/>
    <col min="2" max="2" width="15.6328125" bestFit="1" customWidth="1"/>
    <col min="3" max="3" width="8.08984375" bestFit="1" customWidth="1"/>
    <col min="4" max="4" width="10.36328125" bestFit="1" customWidth="1"/>
    <col min="5" max="11" width="3.81640625" bestFit="1" customWidth="1"/>
    <col min="12" max="12" width="39.81640625" customWidth="1"/>
    <col min="13" max="105" width="3.81640625" bestFit="1" customWidth="1"/>
    <col min="106" max="845" width="4.81640625" bestFit="1" customWidth="1"/>
    <col min="846" max="885" width="5.81640625" bestFit="1" customWidth="1"/>
    <col min="886" max="886" width="10.36328125" bestFit="1" customWidth="1"/>
  </cols>
  <sheetData>
    <row r="1" spans="1:4" ht="18.5" x14ac:dyDescent="0.45">
      <c r="A1" s="24" t="s">
        <v>78</v>
      </c>
      <c r="B1" s="24"/>
      <c r="C1" s="24"/>
      <c r="D1" s="24"/>
    </row>
    <row r="3" spans="1:4" x14ac:dyDescent="0.35">
      <c r="A3" s="3" t="s">
        <v>44</v>
      </c>
      <c r="B3" s="3" t="s">
        <v>49</v>
      </c>
    </row>
    <row r="4" spans="1:4" x14ac:dyDescent="0.35">
      <c r="A4" s="3" t="s">
        <v>47</v>
      </c>
      <c r="B4" t="s">
        <v>45</v>
      </c>
      <c r="C4" t="s">
        <v>34</v>
      </c>
      <c r="D4" t="s">
        <v>48</v>
      </c>
    </row>
    <row r="5" spans="1:4" x14ac:dyDescent="0.35">
      <c r="A5" s="4" t="s">
        <v>79</v>
      </c>
      <c r="B5" s="7">
        <v>0.2811158798283262</v>
      </c>
      <c r="C5" s="7">
        <v>0.7188841201716738</v>
      </c>
      <c r="D5" s="7">
        <v>1</v>
      </c>
    </row>
    <row r="6" spans="1:4" x14ac:dyDescent="0.35">
      <c r="A6" s="4" t="s">
        <v>80</v>
      </c>
      <c r="B6" s="7">
        <v>0.24719101123595505</v>
      </c>
      <c r="C6" s="7">
        <v>0.7528089887640449</v>
      </c>
      <c r="D6" s="7">
        <v>1</v>
      </c>
    </row>
    <row r="7" spans="1:4" x14ac:dyDescent="0.35">
      <c r="A7" s="4" t="s">
        <v>81</v>
      </c>
      <c r="B7" s="7">
        <v>0.34831460674157305</v>
      </c>
      <c r="C7" s="7">
        <v>0.651685393258427</v>
      </c>
      <c r="D7" s="7">
        <v>1</v>
      </c>
    </row>
    <row r="8" spans="1:4" x14ac:dyDescent="0.35">
      <c r="A8" s="4" t="s">
        <v>82</v>
      </c>
      <c r="B8" s="7">
        <v>0.39705882352941174</v>
      </c>
      <c r="C8" s="7">
        <v>0.6029411764705882</v>
      </c>
      <c r="D8" s="7">
        <v>1</v>
      </c>
    </row>
    <row r="9" spans="1:4" x14ac:dyDescent="0.35">
      <c r="A9" s="4" t="s">
        <v>83</v>
      </c>
      <c r="B9" s="7">
        <v>0.40740740740740738</v>
      </c>
      <c r="C9" s="7">
        <v>0.59259259259259256</v>
      </c>
      <c r="D9" s="7">
        <v>1</v>
      </c>
    </row>
    <row r="10" spans="1:4" x14ac:dyDescent="0.35">
      <c r="A10" s="4" t="s">
        <v>84</v>
      </c>
      <c r="B10" s="7">
        <v>0.5</v>
      </c>
      <c r="C10" s="7">
        <v>0.5</v>
      </c>
      <c r="D10" s="7">
        <v>1</v>
      </c>
    </row>
    <row r="11" spans="1:4" x14ac:dyDescent="0.35">
      <c r="A11" s="4" t="s">
        <v>85</v>
      </c>
      <c r="B11" s="7">
        <v>0.66666666666666663</v>
      </c>
      <c r="C11" s="7">
        <v>0.33333333333333331</v>
      </c>
      <c r="D11" s="7">
        <v>1</v>
      </c>
    </row>
    <row r="12" spans="1:4" x14ac:dyDescent="0.35">
      <c r="A12" s="4" t="s">
        <v>86</v>
      </c>
      <c r="B12" s="7">
        <v>0.77777777777777779</v>
      </c>
      <c r="C12" s="7">
        <v>0.22222222222222221</v>
      </c>
      <c r="D12" s="7">
        <v>1</v>
      </c>
    </row>
    <row r="13" spans="1:4" x14ac:dyDescent="0.35">
      <c r="A13" s="4" t="s">
        <v>87</v>
      </c>
      <c r="B13" s="7">
        <v>1</v>
      </c>
      <c r="C13" s="7">
        <v>0</v>
      </c>
      <c r="D13" s="7">
        <v>1</v>
      </c>
    </row>
    <row r="14" spans="1:4" x14ac:dyDescent="0.35">
      <c r="A14" s="4" t="s">
        <v>48</v>
      </c>
      <c r="B14" s="7">
        <v>0.3029350104821803</v>
      </c>
      <c r="C14" s="7">
        <v>0.6970649895178197</v>
      </c>
      <c r="D14" s="7">
        <v>1</v>
      </c>
    </row>
    <row r="28" spans="12:12" ht="18.5" x14ac:dyDescent="0.35">
      <c r="L28" s="27" t="s">
        <v>89</v>
      </c>
    </row>
    <row r="29" spans="12:12" ht="72.5" x14ac:dyDescent="0.35">
      <c r="L29" s="17" t="s">
        <v>88</v>
      </c>
    </row>
  </sheetData>
  <mergeCells count="1">
    <mergeCell ref="A1:D1"/>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F8CFB-3F8D-4FC9-9441-2C12E1A35ECB}">
  <dimension ref="A1:H14"/>
  <sheetViews>
    <sheetView workbookViewId="0">
      <selection sqref="A1:H1"/>
    </sheetView>
  </sheetViews>
  <sheetFormatPr defaultRowHeight="14.5" x14ac:dyDescent="0.35"/>
  <cols>
    <col min="1" max="1" width="17.453125" bestFit="1" customWidth="1"/>
    <col min="2" max="2" width="15.6328125" bestFit="1" customWidth="1"/>
    <col min="3" max="5" width="6.90625" bestFit="1" customWidth="1"/>
    <col min="6" max="6" width="7.90625" bestFit="1" customWidth="1"/>
    <col min="7" max="7" width="6.90625" bestFit="1" customWidth="1"/>
    <col min="8" max="8" width="10.36328125" bestFit="1" customWidth="1"/>
  </cols>
  <sheetData>
    <row r="1" spans="1:8" ht="42" customHeight="1" x14ac:dyDescent="0.45">
      <c r="A1" s="30" t="s">
        <v>90</v>
      </c>
      <c r="B1" s="30"/>
      <c r="C1" s="30"/>
      <c r="D1" s="30"/>
      <c r="E1" s="30"/>
      <c r="F1" s="30"/>
      <c r="G1" s="30"/>
      <c r="H1" s="30"/>
    </row>
    <row r="3" spans="1:8" x14ac:dyDescent="0.35">
      <c r="A3" s="3" t="s">
        <v>44</v>
      </c>
      <c r="B3" s="3" t="s">
        <v>49</v>
      </c>
    </row>
    <row r="4" spans="1:8" x14ac:dyDescent="0.35">
      <c r="A4" s="3" t="s">
        <v>47</v>
      </c>
      <c r="B4" s="20" t="s">
        <v>53</v>
      </c>
      <c r="C4" s="20" t="s">
        <v>54</v>
      </c>
      <c r="D4" s="20" t="s">
        <v>55</v>
      </c>
      <c r="E4" s="20" t="s">
        <v>56</v>
      </c>
      <c r="F4" s="20" t="s">
        <v>57</v>
      </c>
      <c r="G4" s="20" t="s">
        <v>58</v>
      </c>
      <c r="H4" s="20" t="s">
        <v>48</v>
      </c>
    </row>
    <row r="5" spans="1:8" x14ac:dyDescent="0.35">
      <c r="A5" s="4" t="s">
        <v>79</v>
      </c>
      <c r="B5" s="21">
        <v>0.30042918454935624</v>
      </c>
      <c r="C5" s="21">
        <v>0.53218884120171672</v>
      </c>
      <c r="D5" s="21">
        <v>0.15236051502145923</v>
      </c>
      <c r="E5" s="21">
        <v>1.5021459227467811E-2</v>
      </c>
      <c r="F5" s="21">
        <v>0</v>
      </c>
      <c r="G5" s="21">
        <v>0</v>
      </c>
      <c r="H5" s="21">
        <v>1</v>
      </c>
    </row>
    <row r="6" spans="1:8" x14ac:dyDescent="0.35">
      <c r="A6" s="4" t="s">
        <v>80</v>
      </c>
      <c r="B6" s="21">
        <v>9.7378277153558054E-2</v>
      </c>
      <c r="C6" s="21">
        <v>0.39325842696629215</v>
      </c>
      <c r="D6" s="21">
        <v>0.34831460674157305</v>
      </c>
      <c r="E6" s="21">
        <v>0.12359550561797752</v>
      </c>
      <c r="F6" s="21">
        <v>3.7453183520599252E-2</v>
      </c>
      <c r="G6" s="21">
        <v>0</v>
      </c>
      <c r="H6" s="21">
        <v>1</v>
      </c>
    </row>
    <row r="7" spans="1:8" x14ac:dyDescent="0.35">
      <c r="A7" s="4" t="s">
        <v>81</v>
      </c>
      <c r="B7" s="21">
        <v>4.49438202247191E-2</v>
      </c>
      <c r="C7" s="21">
        <v>0.23595505617977527</v>
      </c>
      <c r="D7" s="21">
        <v>0.3707865168539326</v>
      </c>
      <c r="E7" s="21">
        <v>0.23595505617977527</v>
      </c>
      <c r="F7" s="21">
        <v>0.10112359550561797</v>
      </c>
      <c r="G7" s="21">
        <v>1.1235955056179775E-2</v>
      </c>
      <c r="H7" s="21">
        <v>1</v>
      </c>
    </row>
    <row r="8" spans="1:8" x14ac:dyDescent="0.35">
      <c r="A8" s="4" t="s">
        <v>82</v>
      </c>
      <c r="B8" s="21">
        <v>4.4117647058823532E-2</v>
      </c>
      <c r="C8" s="21">
        <v>0.17647058823529413</v>
      </c>
      <c r="D8" s="21">
        <v>0.29411764705882354</v>
      </c>
      <c r="E8" s="21">
        <v>0.22058823529411764</v>
      </c>
      <c r="F8" s="21">
        <v>0.19117647058823528</v>
      </c>
      <c r="G8" s="21">
        <v>7.3529411764705885E-2</v>
      </c>
      <c r="H8" s="21">
        <v>1</v>
      </c>
    </row>
    <row r="9" spans="1:8" x14ac:dyDescent="0.35">
      <c r="A9" s="4" t="s">
        <v>83</v>
      </c>
      <c r="B9" s="21">
        <v>0</v>
      </c>
      <c r="C9" s="21">
        <v>7.407407407407407E-2</v>
      </c>
      <c r="D9" s="21">
        <v>0.14814814814814814</v>
      </c>
      <c r="E9" s="21">
        <v>0.44444444444444442</v>
      </c>
      <c r="F9" s="21">
        <v>0.25925925925925924</v>
      </c>
      <c r="G9" s="21">
        <v>7.407407407407407E-2</v>
      </c>
      <c r="H9" s="21">
        <v>1</v>
      </c>
    </row>
    <row r="10" spans="1:8" x14ac:dyDescent="0.35">
      <c r="A10" s="4" t="s">
        <v>84</v>
      </c>
      <c r="B10" s="21">
        <v>0</v>
      </c>
      <c r="C10" s="21">
        <v>0</v>
      </c>
      <c r="D10" s="21">
        <v>0.27777777777777779</v>
      </c>
      <c r="E10" s="21">
        <v>0.3888888888888889</v>
      </c>
      <c r="F10" s="21">
        <v>0.27777777777777779</v>
      </c>
      <c r="G10" s="21">
        <v>5.5555555555555552E-2</v>
      </c>
      <c r="H10" s="21">
        <v>1</v>
      </c>
    </row>
    <row r="11" spans="1:8" x14ac:dyDescent="0.35">
      <c r="A11" s="4" t="s">
        <v>85</v>
      </c>
      <c r="B11" s="21">
        <v>0</v>
      </c>
      <c r="C11" s="21">
        <v>0.22222222222222221</v>
      </c>
      <c r="D11" s="21">
        <v>0.1111111111111111</v>
      </c>
      <c r="E11" s="21">
        <v>0.33333333333333331</v>
      </c>
      <c r="F11" s="21">
        <v>0.1111111111111111</v>
      </c>
      <c r="G11" s="21">
        <v>0.22222222222222221</v>
      </c>
      <c r="H11" s="21">
        <v>1</v>
      </c>
    </row>
    <row r="12" spans="1:8" x14ac:dyDescent="0.35">
      <c r="A12" s="4" t="s">
        <v>86</v>
      </c>
      <c r="B12" s="21">
        <v>0.22222222222222221</v>
      </c>
      <c r="C12" s="21">
        <v>0</v>
      </c>
      <c r="D12" s="21">
        <v>0</v>
      </c>
      <c r="E12" s="21">
        <v>0.22222222222222221</v>
      </c>
      <c r="F12" s="21">
        <v>0.33333333333333331</v>
      </c>
      <c r="G12" s="21">
        <v>0.22222222222222221</v>
      </c>
      <c r="H12" s="21">
        <v>1</v>
      </c>
    </row>
    <row r="13" spans="1:8" x14ac:dyDescent="0.35">
      <c r="A13" s="4" t="s">
        <v>87</v>
      </c>
      <c r="B13" s="21">
        <v>0</v>
      </c>
      <c r="C13" s="21">
        <v>0</v>
      </c>
      <c r="D13" s="21">
        <v>0</v>
      </c>
      <c r="E13" s="21">
        <v>0</v>
      </c>
      <c r="F13" s="21">
        <v>1</v>
      </c>
      <c r="G13" s="21">
        <v>0</v>
      </c>
      <c r="H13" s="21">
        <v>1</v>
      </c>
    </row>
    <row r="14" spans="1:8" x14ac:dyDescent="0.35">
      <c r="A14" s="6" t="s">
        <v>48</v>
      </c>
      <c r="B14" s="21">
        <v>0.18343815513626835</v>
      </c>
      <c r="C14" s="21">
        <v>0.4088050314465409</v>
      </c>
      <c r="D14" s="21">
        <v>0.23794549266247381</v>
      </c>
      <c r="E14" s="21">
        <v>0.10482180293501048</v>
      </c>
      <c r="F14" s="21">
        <v>5.1362683438155136E-2</v>
      </c>
      <c r="G14" s="21">
        <v>1.3626834381551363E-2</v>
      </c>
      <c r="H14" s="21">
        <v>1</v>
      </c>
    </row>
  </sheetData>
  <mergeCells count="1">
    <mergeCell ref="A1:H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 CLEANING</vt:lpstr>
      <vt:lpstr>CLEANED DATA</vt:lpstr>
      <vt:lpstr>1. Portfolio Risk Distribution</vt:lpstr>
      <vt:lpstr>2.  Risk vs Exposure_Category A</vt:lpstr>
      <vt:lpstr>3.  Risk vs Duration</vt:lpstr>
      <vt:lpstr>4. Does Age_Band influence risk</vt:lpstr>
      <vt:lpstr>5. Risk vs Credit Amount</vt:lpstr>
      <vt:lpstr>6. Duration &amp; Credit Amount Com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saledemo</dc:creator>
  <cp:lastModifiedBy>saledemo</cp:lastModifiedBy>
  <dcterms:created xsi:type="dcterms:W3CDTF">2026-02-17T07:38:57Z</dcterms:created>
  <dcterms:modified xsi:type="dcterms:W3CDTF">2026-02-17T13:20:05Z</dcterms:modified>
</cp:coreProperties>
</file>